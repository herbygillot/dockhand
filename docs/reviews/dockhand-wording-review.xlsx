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69d74bf7233406f" /></Relationships>
</file>

<file path=xl/workbook.xml><?xml version="1.0" encoding="utf-8"?>
<x:workbook xmlns:x="http://schemas.openxmlformats.org/spreadsheetml/2006/main">
  <x:sheets>
    <x:sheet xmlns:r="http://schemas.openxmlformats.org/officeDocument/2006/relationships" name="Overview" sheetId="1" r:id="R88c3dd2448404e3c"/>
    <x:sheet xmlns:r="http://schemas.openxmlformats.org/officeDocument/2006/relationships" name="CLI messages" sheetId="2" r:id="Reec379ad02624c8f"/>
    <x:sheet xmlns:r="http://schemas.openxmlformats.org/officeDocument/2006/relationships" name="Workflow &amp; status" sheetId="3" r:id="R34bf5c8eeef648b0"/>
    <x:sheet xmlns:r="http://schemas.openxmlformats.org/officeDocument/2006/relationships" name="Service messages" sheetId="4" r:id="Rbd225f43db6846a6"/>
    <x:sheet xmlns:r="http://schemas.openxmlformats.org/officeDocument/2006/relationships" name="Build environments" sheetId="5" r:id="R59295ca3d3da43e5"/>
    <x:sheet xmlns:r="http://schemas.openxmlformats.org/officeDocument/2006/relationships" name="Port changes" sheetId="6" r:id="Ra3cabeec4bae4495"/>
    <x:sheet xmlns:r="http://schemas.openxmlformats.org/officeDocument/2006/relationships" name="GitHub login" sheetId="7" r:id="R6c8fcc09e135420b"/>
    <x:sheet xmlns:r="http://schemas.openxmlformats.org/officeDocument/2006/relationships" name="User guides" sheetId="8" r:id="Rd16342996e3a45e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1"/>
      <x:color rgb="FF243247"/>
      <x:name val="Arial"/>
    </x:font>
    <x:font>
      <x:b/>
      <x:sz val="16"/>
      <x:color rgb="FF243247"/>
      <x:name val="Arial"/>
    </x:font>
    <x:font>
      <x:b/>
      <x:sz val="11"/>
      <x:color rgb="FFFFFFFF"/>
      <x:name val="Arial"/>
    </x:font>
    <x:font>
      <x:b/>
      <x:sz val="11"/>
      <x:color rgb="FF243247"/>
      <x:name val="Arial"/>
    </x:font>
    <x:font>
      <x:sz val="11"/>
      <x:color rgb="FF59677B"/>
      <x:name val="Arial"/>
    </x:font>
  </x:fonts>
  <x:fills count="4">
    <x:fill>
      <x:patternFill patternType="none"/>
    </x:fill>
    <x:fill>
      <x:patternFill patternType="gray125"/>
    </x:fill>
    <x:fill>
      <x:patternFill patternType="solid">
        <x:fgColor rgb="FF263F60"/>
      </x:patternFill>
    </x:fill>
    <x:fill>
      <x:patternFill patternType="solid">
        <x:fgColor rgb="FFF3F6FA"/>
      </x:patternFill>
    </x:fill>
  </x:fills>
  <x:borders count="3">
    <x:border>
      <x:left/>
      <x:right/>
      <x:top/>
      <x:bottom/>
      <x:diagonal/>
    </x:border>
    <x:border>
      <x:left/>
      <x:right/>
      <x:top/>
      <x:bottom style="thin">
        <x:color rgb="FFD8E1EC"/>
      </x:bottom>
      <x:diagonal/>
    </x:border>
    <x:border>
      <x:left/>
      <x:right/>
      <x:top style="thin">
        <x:color rgb="FFD8E1EC"/>
      </x:top>
      <x:bottom/>
      <x:diagonal/>
    </x:border>
  </x:borders>
  <x:cellStyleXfs count="1">
    <x:xf numFmtId="0" fontId="0" fillId="0" borderId="0"/>
  </x:cellStyleXfs>
  <x:cellXfs count="18">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4" fillId="0" borderId="0" xfId="0" applyNumberFormat="1" applyFont="1" applyFill="1" applyBorder="1"/>
    <x:xf numFmtId="0" fontId="4" fillId="0" borderId="2" xfId="0" applyNumberFormat="1" applyFont="1" applyFill="1" applyBorder="1"/>
    <x:xf numFmtId="200" fontId="1" fillId="0" borderId="0" xfId="0" applyNumberFormat="1" applyFont="1" applyFill="1" applyBorder="1"/>
    <x:xf numFmtId="200" fontId="4" fillId="0" borderId="2" xfId="0" applyNumberFormat="1" applyFont="1" applyFill="1" applyBorder="1"/>
    <x:xf numFmtId="0" fontId="5" fillId="0" borderId="1" xfId="0" applyNumberFormat="1" applyFont="1" applyFill="1" applyBorder="1"/>
    <x:xf numFmtId="0" fontId="3" fillId="2" borderId="0" xfId="0" applyNumberFormat="1" applyFont="1" applyFill="1" applyBorder="1" applyAlignment="1">
      <x:alignment horizontal="center" vertical="center"/>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cellXfs>
  <x:cellStyles count="1">
    <x:cellStyle name="Normal" xfId="0"/>
  </x:cellStyles>
  <x:dxfs count="14">
    <x:dxf>
      <x:font>
        <x:b/>
        <x:color rgb="FF80500C"/>
      </x:font>
      <x:fill>
        <x:patternFill patternType="solid">
          <x:bgColor rgb="FFFFF1D6"/>
        </x:patternFill>
      </x:fill>
    </x:dxf>
    <x:dxf>
      <x:font>
        <x:color rgb="FF355A86"/>
      </x:font>
      <x:fill>
        <x:patternFill patternType="solid">
          <x:bgColor rgb="FFE9EFF8"/>
        </x:patternFill>
      </x:fill>
    </x:dxf>
    <x:dxf>
      <x:font>
        <x:b/>
        <x:color rgb="FF80500C"/>
      </x:font>
      <x:fill>
        <x:patternFill patternType="solid">
          <x:bgColor rgb="FFFFF1D6"/>
        </x:patternFill>
      </x:fill>
    </x:dxf>
    <x:dxf>
      <x:font>
        <x:color rgb="FF355A86"/>
      </x:font>
      <x:fill>
        <x:patternFill patternType="solid">
          <x:bgColor rgb="FFE9EFF8"/>
        </x:patternFill>
      </x:fill>
    </x:dxf>
    <x:dxf>
      <x:font>
        <x:b/>
        <x:color rgb="FF80500C"/>
      </x:font>
      <x:fill>
        <x:patternFill patternType="solid">
          <x:bgColor rgb="FFFFF1D6"/>
        </x:patternFill>
      </x:fill>
    </x:dxf>
    <x:dxf>
      <x:font>
        <x:color rgb="FF355A86"/>
      </x:font>
      <x:fill>
        <x:patternFill patternType="solid">
          <x:bgColor rgb="FFE9EFF8"/>
        </x:patternFill>
      </x:fill>
    </x:dxf>
    <x:dxf>
      <x:font>
        <x:b/>
        <x:color rgb="FF80500C"/>
      </x:font>
      <x:fill>
        <x:patternFill patternType="solid">
          <x:bgColor rgb="FFFFF1D6"/>
        </x:patternFill>
      </x:fill>
    </x:dxf>
    <x:dxf>
      <x:font>
        <x:color rgb="FF355A86"/>
      </x:font>
      <x:fill>
        <x:patternFill patternType="solid">
          <x:bgColor rgb="FFE9EFF8"/>
        </x:patternFill>
      </x:fill>
    </x:dxf>
    <x:dxf>
      <x:font>
        <x:b/>
        <x:color rgb="FF80500C"/>
      </x:font>
      <x:fill>
        <x:patternFill patternType="solid">
          <x:bgColor rgb="FFFFF1D6"/>
        </x:patternFill>
      </x:fill>
    </x:dxf>
    <x:dxf>
      <x:font>
        <x:color rgb="FF355A86"/>
      </x:font>
      <x:fill>
        <x:patternFill patternType="solid">
          <x:bgColor rgb="FFE9EFF8"/>
        </x:patternFill>
      </x:fill>
    </x:dxf>
    <x:dxf>
      <x:font>
        <x:b/>
        <x:color rgb="FF80500C"/>
      </x:font>
      <x:fill>
        <x:patternFill patternType="solid">
          <x:bgColor rgb="FFFFF1D6"/>
        </x:patternFill>
      </x:fill>
    </x:dxf>
    <x:dxf>
      <x:font>
        <x:color rgb="FF355A86"/>
      </x:font>
      <x:fill>
        <x:patternFill patternType="solid">
          <x:bgColor rgb="FFE9EFF8"/>
        </x:patternFill>
      </x:fill>
    </x:dxf>
    <x:dxf>
      <x:font>
        <x:b/>
        <x:color rgb="FF80500C"/>
      </x:font>
      <x:fill>
        <x:patternFill patternType="solid">
          <x:bgColor rgb="FFFFF1D6"/>
        </x:patternFill>
      </x:fill>
    </x:dxf>
    <x:dxf>
      <x:font>
        <x:color rgb="FF355A86"/>
      </x:font>
      <x:fill>
        <x:patternFill patternType="solid">
          <x:bgColor rgb="FFE9EF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4aea0416fb9499d" /><Relationship Type="http://schemas.openxmlformats.org/officeDocument/2006/relationships/theme" Target="/xl/theme/theme1.xml" Id="R656cbb915ec44468" /><Relationship Type="http://schemas.openxmlformats.org/officeDocument/2006/relationships/sharedStrings" Target="/xl/sharedStrings.xml" Id="Rd021c2b60d8d400d" /><Relationship Type="http://schemas.openxmlformats.org/officeDocument/2006/relationships/worksheet" Target="/xl/worksheets/sheet1.xml" Id="R88c3dd2448404e3c" /><Relationship Type="http://schemas.openxmlformats.org/officeDocument/2006/relationships/worksheet" Target="/xl/worksheets/sheet2.xml" Id="Reec379ad02624c8f" /><Relationship Type="http://schemas.openxmlformats.org/officeDocument/2006/relationships/worksheet" Target="/xl/worksheets/sheet3.xml" Id="R34bf5c8eeef648b0" /><Relationship Type="http://schemas.openxmlformats.org/officeDocument/2006/relationships/worksheet" Target="/xl/worksheets/sheet4.xml" Id="Rbd225f43db6846a6" /><Relationship Type="http://schemas.openxmlformats.org/officeDocument/2006/relationships/worksheet" Target="/xl/worksheets/sheet5.xml" Id="R59295ca3d3da43e5" /><Relationship Type="http://schemas.openxmlformats.org/officeDocument/2006/relationships/worksheet" Target="/xl/worksheets/sheet6.xml" Id="Ra3cabeec4bae4495" /><Relationship Type="http://schemas.openxmlformats.org/officeDocument/2006/relationships/worksheet" Target="/xl/worksheets/sheet7.xml" Id="R6c8fcc09e135420b" /><Relationship Type="http://schemas.openxmlformats.org/officeDocument/2006/relationships/worksheet" Target="/xl/worksheets/sheet8.xml" Id="Rd16342996e3a45e6" /></Relationships>
</file>

<file path=xl/tables/table1.xml><?xml version="1.0" encoding="utf-8"?>
<x:table xmlns:x="http://schemas.openxmlformats.org/spreadsheetml/2006/main" id="1" name="CLIWording" displayName="CLIWording" ref="A5:J71" headerRowCount="1" totalsRowCount="0" totalsRowShown="0">
  <x:autoFilter ref="A5:J71"/>
  <x:tableColumns count="10">
    <x:tableColumn id="1" name="ID"/>
    <x:tableColumn id="2" name="Current message"/>
    <x:tableColumn id="3" name="Proposed message"/>
    <x:tableColumn id="4" name="File"/>
    <x:tableColumn id="5" name="Line"/>
    <x:tableColumn id="6" name="Context"/>
    <x:tableColumn id="7" name="Why change it"/>
    <x:tableColumn id="8" name="Implementation notes"/>
    <x:tableColumn id="9" name="Priority"/>
    <x:tableColumn id="10" name="Proposal"/>
  </x:tableColumns>
  <x:tableStyleInfo name="TableStyleMedium2" showFirstColumn="0" showLastColumn="0" showRowStripes="1" showColumnStripes="0"/>
</x:table>
</file>

<file path=xl/tables/table2.xml><?xml version="1.0" encoding="utf-8"?>
<x:table xmlns:x="http://schemas.openxmlformats.org/spreadsheetml/2006/main" id="2" name="WFWording" displayName="WFWording" ref="A5:J77" headerRowCount="1" totalsRowCount="0" totalsRowShown="0">
  <x:autoFilter ref="A5:J77"/>
  <x:tableColumns count="10">
    <x:tableColumn id="1" name="ID"/>
    <x:tableColumn id="2" name="Current message"/>
    <x:tableColumn id="3" name="Proposed message"/>
    <x:tableColumn id="4" name="File"/>
    <x:tableColumn id="5" name="Line"/>
    <x:tableColumn id="6" name="Context"/>
    <x:tableColumn id="7" name="Why change it"/>
    <x:tableColumn id="8" name="Implementation notes"/>
    <x:tableColumn id="9" name="Priority"/>
    <x:tableColumn id="10" name="Proposal"/>
  </x:tableColumns>
  <x:tableStyleInfo name="TableStyleMedium2" showFirstColumn="0" showLastColumn="0" showRowStripes="1" showColumnStripes="0"/>
</x:table>
</file>

<file path=xl/tables/table3.xml><?xml version="1.0" encoding="utf-8"?>
<x:table xmlns:x="http://schemas.openxmlformats.org/spreadsheetml/2006/main" id="3" name="SVWording" displayName="SVWording" ref="A5:J20" headerRowCount="1" totalsRowCount="0" totalsRowShown="0">
  <x:autoFilter ref="A5:J20"/>
  <x:tableColumns count="10">
    <x:tableColumn id="1" name="ID"/>
    <x:tableColumn id="2" name="Current message"/>
    <x:tableColumn id="3" name="Proposed message"/>
    <x:tableColumn id="4" name="File"/>
    <x:tableColumn id="5" name="Line"/>
    <x:tableColumn id="6" name="Context"/>
    <x:tableColumn id="7" name="Why change it"/>
    <x:tableColumn id="8" name="Implementation notes"/>
    <x:tableColumn id="9" name="Priority"/>
    <x:tableColumn id="10" name="Proposal"/>
  </x:tableColumns>
  <x:tableStyleInfo name="TableStyleMedium2" showFirstColumn="0" showLastColumn="0" showRowStripes="1" showColumnStripes="0"/>
</x:table>
</file>

<file path=xl/tables/table4.xml><?xml version="1.0" encoding="utf-8"?>
<x:table xmlns:x="http://schemas.openxmlformats.org/spreadsheetml/2006/main" id="4" name="BEWording" displayName="BEWording" ref="A5:J28" headerRowCount="1" totalsRowCount="0" totalsRowShown="0">
  <x:autoFilter ref="A5:J28"/>
  <x:tableColumns count="10">
    <x:tableColumn id="1" name="ID"/>
    <x:tableColumn id="2" name="Current message"/>
    <x:tableColumn id="3" name="Proposed message"/>
    <x:tableColumn id="4" name="File"/>
    <x:tableColumn id="5" name="Line"/>
    <x:tableColumn id="6" name="Context"/>
    <x:tableColumn id="7" name="Why change it"/>
    <x:tableColumn id="8" name="Implementation notes"/>
    <x:tableColumn id="9" name="Priority"/>
    <x:tableColumn id="10" name="Proposal"/>
  </x:tableColumns>
  <x:tableStyleInfo name="TableStyleMedium2" showFirstColumn="0" showLastColumn="0" showRowStripes="1" showColumnStripes="0"/>
</x:table>
</file>

<file path=xl/tables/table5.xml><?xml version="1.0" encoding="utf-8"?>
<x:table xmlns:x="http://schemas.openxmlformats.org/spreadsheetml/2006/main" id="5" name="PCWording" displayName="PCWording" ref="A5:J33" headerRowCount="1" totalsRowCount="0" totalsRowShown="0">
  <x:autoFilter ref="A5:J33"/>
  <x:tableColumns count="10">
    <x:tableColumn id="1" name="ID"/>
    <x:tableColumn id="2" name="Current message"/>
    <x:tableColumn id="3" name="Proposed message"/>
    <x:tableColumn id="4" name="File"/>
    <x:tableColumn id="5" name="Line"/>
    <x:tableColumn id="6" name="Context"/>
    <x:tableColumn id="7" name="Why change it"/>
    <x:tableColumn id="8" name="Implementation notes"/>
    <x:tableColumn id="9" name="Priority"/>
    <x:tableColumn id="10" name="Proposal"/>
  </x:tableColumns>
  <x:tableStyleInfo name="TableStyleMedium2" showFirstColumn="0" showLastColumn="0" showRowStripes="1" showColumnStripes="0"/>
</x:table>
</file>

<file path=xl/tables/table6.xml><?xml version="1.0" encoding="utf-8"?>
<x:table xmlns:x="http://schemas.openxmlformats.org/spreadsheetml/2006/main" id="6" name="GHWording" displayName="GHWording" ref="A5:J13" headerRowCount="1" totalsRowCount="0" totalsRowShown="0">
  <x:autoFilter ref="A5:J13"/>
  <x:tableColumns count="10">
    <x:tableColumn id="1" name="ID"/>
    <x:tableColumn id="2" name="Current message"/>
    <x:tableColumn id="3" name="Proposed message"/>
    <x:tableColumn id="4" name="File"/>
    <x:tableColumn id="5" name="Line"/>
    <x:tableColumn id="6" name="Context"/>
    <x:tableColumn id="7" name="Why change it"/>
    <x:tableColumn id="8" name="Implementation notes"/>
    <x:tableColumn id="9" name="Priority"/>
    <x:tableColumn id="10" name="Proposal"/>
  </x:tableColumns>
  <x:tableStyleInfo name="TableStyleMedium2" showFirstColumn="0" showLastColumn="0" showRowStripes="1" showColumnStripes="0"/>
</x:table>
</file>

<file path=xl/tables/table7.xml><?xml version="1.0" encoding="utf-8"?>
<x:table xmlns:x="http://schemas.openxmlformats.org/spreadsheetml/2006/main" id="7" name="DOCWording" displayName="DOCWording" ref="A5:J44" headerRowCount="1" totalsRowCount="0" totalsRowShown="0">
  <x:autoFilter ref="A5:J44"/>
  <x:tableColumns count="10">
    <x:tableColumn id="1" name="ID"/>
    <x:tableColumn id="2" name="Current message"/>
    <x:tableColumn id="3" name="Proposed message"/>
    <x:tableColumn id="4" name="File"/>
    <x:tableColumn id="5" name="Line"/>
    <x:tableColumn id="6" name="Context"/>
    <x:tableColumn id="7" name="Why change it"/>
    <x:tableColumn id="8" name="Implementation notes"/>
    <x:tableColumn id="9" name="Priority"/>
    <x:tableColumn id="10" name="Proposa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3aaadf4ef694f74" /></Relationships>
</file>

<file path=xl/worksheets/_rels/sheet3.xml.rels>&#65279;<?xml version="1.0" encoding="utf-8"?><Relationships xmlns="http://schemas.openxmlformats.org/package/2006/relationships"><Relationship Type="http://schemas.openxmlformats.org/officeDocument/2006/relationships/table" Target="/xl/tables/table2.xml" Id="Redd075575d264953" /></Relationships>
</file>

<file path=xl/worksheets/_rels/sheet4.xml.rels>&#65279;<?xml version="1.0" encoding="utf-8"?><Relationships xmlns="http://schemas.openxmlformats.org/package/2006/relationships"><Relationship Type="http://schemas.openxmlformats.org/officeDocument/2006/relationships/table" Target="/xl/tables/table3.xml" Id="Re450af7c978c460a" /></Relationships>
</file>

<file path=xl/worksheets/_rels/sheet5.xml.rels>&#65279;<?xml version="1.0" encoding="utf-8"?><Relationships xmlns="http://schemas.openxmlformats.org/package/2006/relationships"><Relationship Type="http://schemas.openxmlformats.org/officeDocument/2006/relationships/table" Target="/xl/tables/table4.xml" Id="R6045e764a0954018" /></Relationships>
</file>

<file path=xl/worksheets/_rels/sheet6.xml.rels>&#65279;<?xml version="1.0" encoding="utf-8"?><Relationships xmlns="http://schemas.openxmlformats.org/package/2006/relationships"><Relationship Type="http://schemas.openxmlformats.org/officeDocument/2006/relationships/table" Target="/xl/tables/table5.xml" Id="R140745b7792c46f6" /></Relationships>
</file>

<file path=xl/worksheets/_rels/sheet7.xml.rels>&#65279;<?xml version="1.0" encoding="utf-8"?><Relationships xmlns="http://schemas.openxmlformats.org/package/2006/relationships"><Relationship Type="http://schemas.openxmlformats.org/officeDocument/2006/relationships/table" Target="/xl/tables/table6.xml" Id="R16f4606fc43e415f" /></Relationships>
</file>

<file path=xl/worksheets/_rels/sheet8.xml.rels>&#65279;<?xml version="1.0" encoding="utf-8"?><Relationships xmlns="http://schemas.openxmlformats.org/package/2006/relationships"><Relationship Type="http://schemas.openxmlformats.org/officeDocument/2006/relationships/table" Target="/xl/tables/table7.xml" Id="Rc07655d9ab964ec9" /></Relationships>
</file>

<file path=xl/worksheets/sheet1.xml><?xml version="1.0" encoding="utf-8"?>
<x:worksheet xmlns:x="http://schemas.openxmlformats.org/spreadsheetml/2006/main">
  <x:sheetPr>
    <x:tabColor rgb="FF263F60"/>
  </x:sheetPr>
  <x:sheetViews>
    <x:sheetView showGridLines="0" workbookViewId="0"/>
  </x:sheetViews>
  <x:sheetFormatPr defaultRowHeight="15"/>
  <x:cols>
    <x:col min="1" max="1" width="30" hidden="0" customWidth="1"/>
    <x:col min="2" max="2" width="15" hidden="0" customWidth="1"/>
    <x:col min="3" max="3" width="15" hidden="0" customWidth="1"/>
    <x:col min="4" max="4" width="15" hidden="0" customWidth="1"/>
    <x:col min="5" max="5" width="18" hidden="0" customWidth="1"/>
    <x:col min="6" max="6" width="18" hidden="0" customWidth="1"/>
  </x:cols>
  <x:sheetData>
    <x:row r="1">
      <x:c r="A1" s="1"/>
      <x:c r="B1" s="1"/>
      <x:c r="C1" s="1"/>
      <x:c r="D1" s="1"/>
      <x:c r="E1" s="1"/>
      <x:c r="F1" s="1"/>
    </x:row>
    <x:row r="2" ht="30" customHeight="1">
      <x:c r="A2" s="2" t="str">
        <x:v>Dockhand wording review</x:v>
      </x:c>
      <x:c r="B2" s="1"/>
      <x:c r="C2" s="1"/>
      <x:c r="D2" s="1"/>
      <x:c r="E2" s="1"/>
      <x:c r="F2" s="1"/>
    </x:row>
    <x:row r="3">
      <x:c r="A3" s="3"/>
      <x:c r="B3" s="3"/>
      <x:c r="C3" s="3"/>
      <x:c r="D3" s="3"/>
      <x:c r="E3" s="3"/>
      <x:c r="F3" s="3"/>
    </x:row>
    <x:row r="4">
      <x:c r="A4" s="1" t="str">
        <x:v>248 messages, 251 proposals, 47 files</x:v>
      </x:c>
      <x:c r="B4" s="1"/>
      <x:c r="C4" s="1"/>
      <x:c r="D4" s="1"/>
      <x:c r="E4" s="1"/>
      <x:c r="F4" s="1"/>
    </x:row>
    <x:row r="5">
      <x:c r="A5" s="1"/>
      <x:c r="B5" s="1"/>
      <x:c r="C5" s="1"/>
      <x:c r="D5" s="1"/>
      <x:c r="E5" s="1"/>
      <x:c r="F5" s="1"/>
    </x:row>
    <x:row r="6" ht="28" customHeight="1">
      <x:c r="A6" s="6" t="str">
        <x:v>Area</x:v>
      </x:c>
      <x:c r="B6" s="6" t="str">
        <x:v>Messages</x:v>
      </x:c>
      <x:c r="C6" s="6" t="str">
        <x:v>Proposals</x:v>
      </x:c>
      <x:c r="D6" s="6" t="str">
        <x:v>High priority</x:v>
      </x:c>
      <x:c r="E6" s="1"/>
      <x:c r="F6" s="1"/>
    </x:row>
    <x:row r="7" ht="25" customHeight="1">
      <x:c r="A7" s="1" t="str">
        <x:v>CLI messages</x:v>
      </x:c>
      <x:c r="B7" s="9" t="n">
        <x:v>65</x:v>
      </x:c>
      <x:c r="C7" s="9" t="n">
        <x:f>COUNTA('CLI messages'!A6:A71)</x:f>
        <x:v>66</x:v>
      </x:c>
      <x:c r="D7" s="9" t="n">
        <x:f>COUNTIFS('CLI messages'!I6:I71,"High",'CLI messages'!J6:J71,"Recommended")</x:f>
        <x:v>17</x:v>
      </x:c>
      <x:c r="E7" s="1"/>
      <x:c r="F7" s="1"/>
    </x:row>
    <x:row r="8" ht="25" customHeight="1">
      <x:c r="A8" s="1" t="str">
        <x:v>Workflow &amp; status</x:v>
      </x:c>
      <x:c r="B8" s="9" t="n">
        <x:v>71</x:v>
      </x:c>
      <x:c r="C8" s="9" t="n">
        <x:f>COUNTA('Workflow &amp; status'!A6:A77)</x:f>
        <x:v>72</x:v>
      </x:c>
      <x:c r="D8" s="9" t="n">
        <x:f>COUNTIFS('Workflow &amp; status'!I6:I77,"High",'Workflow &amp; status'!J6:J77,"Recommended")</x:f>
        <x:v>27</x:v>
      </x:c>
      <x:c r="E8" s="1"/>
      <x:c r="F8" s="1"/>
    </x:row>
    <x:row r="9" ht="25" customHeight="1">
      <x:c r="A9" s="1" t="str">
        <x:v>Service messages</x:v>
      </x:c>
      <x:c r="B9" s="9" t="n">
        <x:v>14</x:v>
      </x:c>
      <x:c r="C9" s="9" t="n">
        <x:f>COUNTA('Service messages'!A6:A20)</x:f>
        <x:v>15</x:v>
      </x:c>
      <x:c r="D9" s="9" t="n">
        <x:f>COUNTIFS('Service messages'!I6:I20,"High",'Service messages'!J6:J20,"Recommended")</x:f>
        <x:v>7</x:v>
      </x:c>
      <x:c r="E9" s="1"/>
      <x:c r="F9" s="1"/>
    </x:row>
    <x:row r="10" ht="25" customHeight="1">
      <x:c r="A10" s="1" t="str">
        <x:v>Build environments</x:v>
      </x:c>
      <x:c r="B10" s="9" t="n">
        <x:v>23</x:v>
      </x:c>
      <x:c r="C10" s="9" t="n">
        <x:f>COUNTA('Build environments'!A6:A28)</x:f>
        <x:v>23</x:v>
      </x:c>
      <x:c r="D10" s="9" t="n">
        <x:f>COUNTIFS('Build environments'!I6:I28,"High",'Build environments'!J6:J28,"Recommended")</x:f>
        <x:v>3</x:v>
      </x:c>
      <x:c r="E10" s="1"/>
      <x:c r="F10" s="1"/>
    </x:row>
    <x:row r="11" ht="25" customHeight="1">
      <x:c r="A11" s="1" t="str">
        <x:v>Port changes</x:v>
      </x:c>
      <x:c r="B11" s="9" t="n">
        <x:v>28</x:v>
      </x:c>
      <x:c r="C11" s="9" t="n">
        <x:f>COUNTA('Port changes'!A6:A33)</x:f>
        <x:v>28</x:v>
      </x:c>
      <x:c r="D11" s="9" t="n">
        <x:f>COUNTIFS('Port changes'!I6:I33,"High",'Port changes'!J6:J33,"Recommended")</x:f>
        <x:v>5</x:v>
      </x:c>
      <x:c r="E11" s="1"/>
      <x:c r="F11" s="1"/>
    </x:row>
    <x:row r="12" ht="25" customHeight="1">
      <x:c r="A12" s="1" t="str">
        <x:v>GitHub login</x:v>
      </x:c>
      <x:c r="B12" s="9" t="n">
        <x:v>8</x:v>
      </x:c>
      <x:c r="C12" s="9" t="n">
        <x:f>COUNTA('GitHub login'!A6:A13)</x:f>
        <x:v>8</x:v>
      </x:c>
      <x:c r="D12" s="9" t="n">
        <x:f>COUNTIFS('GitHub login'!I6:I13,"High",'GitHub login'!J6:J13,"Recommended")</x:f>
        <x:v>4</x:v>
      </x:c>
      <x:c r="E12" s="1"/>
      <x:c r="F12" s="1"/>
    </x:row>
    <x:row r="13" ht="25" customHeight="1">
      <x:c r="A13" s="1" t="str">
        <x:v>User guides</x:v>
      </x:c>
      <x:c r="B13" s="9" t="n">
        <x:v>39</x:v>
      </x:c>
      <x:c r="C13" s="9" t="n">
        <x:f>COUNTA('User guides'!A6:A44)</x:f>
        <x:v>39</x:v>
      </x:c>
      <x:c r="D13" s="9" t="n">
        <x:f>COUNTIFS('User guides'!I6:I44,"High",'User guides'!J6:J44,"Recommended")</x:f>
        <x:v>11</x:v>
      </x:c>
      <x:c r="E13" s="1"/>
      <x:c r="F13" s="1"/>
    </x:row>
    <x:row r="14" ht="28" customHeight="1">
      <x:c r="A14" s="8" t="str">
        <x:v>Total</x:v>
      </x:c>
      <x:c r="B14" s="10" t="n">
        <x:v>248</x:v>
      </x:c>
      <x:c r="C14" s="10" t="n">
        <x:f>SUM(C7:C13)</x:f>
        <x:v>251</x:v>
      </x:c>
      <x:c r="D14" s="10" t="n">
        <x:f>SUM(D7:D13)</x:f>
        <x:v>74</x:v>
      </x:c>
      <x:c r="E14" s="1"/>
      <x:c r="F14" s="1"/>
    </x:row>
    <x:row r="15">
      <x:c r="A15" s="1"/>
      <x:c r="B15" s="1"/>
      <x:c r="C15" s="1"/>
      <x:c r="D15" s="1"/>
      <x:c r="E15" s="1"/>
      <x:c r="F15" s="1"/>
    </x:row>
    <x:row r="16">
      <x:c r="A16" s="1"/>
      <x:c r="B16" s="1"/>
      <x:c r="C16" s="1"/>
      <x:c r="D16" s="1"/>
      <x:c r="E16" s="1"/>
      <x:c r="F16" s="1"/>
    </x:row>
    <x:row r="17">
      <x:c r="A17" s="7" t="str">
        <x:v>How to use this review</x:v>
      </x:c>
      <x:c r="B17" s="1"/>
      <x:c r="C17" s="1"/>
      <x:c r="D17" s="1"/>
      <x:c r="E17" s="1"/>
      <x:c r="F17" s="1"/>
    </x:row>
    <x:row r="18" ht="25" customHeight="1">
      <x:c r="A18" s="1" t="str">
        <x:v>Each row pairs current wording with a proposed replacement and its source file and line.</x:v>
      </x:c>
      <x:c r="B18" s="1"/>
      <x:c r="C18" s="1"/>
      <x:c r="D18" s="1"/>
      <x:c r="E18" s="1"/>
      <x:c r="F18" s="1"/>
    </x:row>
    <x:row r="19" ht="25" customHeight="1">
      <x:c r="A19" s="1" t="str">
        <x:v>Filter Priority to start with messages that affect recovery, publication, trust, or interpretation.</x:v>
      </x:c>
      <x:c r="B19" s="1"/>
      <x:c r="C19" s="1"/>
      <x:c r="D19" s="1"/>
      <x:c r="E19" s="1"/>
      <x:c r="F19" s="1"/>
    </x:row>
    <x:row r="20" ht="25" customHeight="1">
      <x:c r="A20" s="1" t="str">
        <x:v>Recommended is the main proposal. Alternative rows offer another phrasing for the same message.</x:v>
      </x:c>
      <x:c r="B20" s="1"/>
      <x:c r="C20" s="1"/>
      <x:c r="D20" s="1"/>
      <x:c r="E20" s="1"/>
      <x:c r="F20" s="1"/>
    </x:row>
    <x:row r="21" ht="25" customHeight="1">
      <x:c r="A21" s="1" t="str">
        <x:v>Old code messages are decoded Go string literals. Line points to the literal’s start, or the prose excerpt.</x:v>
      </x:c>
      <x:c r="B21" s="1"/>
      <x:c r="C21" s="1"/>
      <x:c r="D21" s="1"/>
      <x:c r="E21" s="1"/>
      <x:c r="F21" s="1"/>
    </x:row>
    <x:row r="22" ht="25" customHeight="1">
      <x:c r="A22" s="1" t="str">
        <x:v>Keep format placeholders and argument order. All code proposals were checked for matching format verbs.</x:v>
      </x:c>
      <x:c r="B22" s="1"/>
      <x:c r="C22" s="1"/>
      <x:c r="D22" s="1"/>
      <x:c r="E22" s="1"/>
      <x:c r="F22" s="1"/>
    </x:row>
    <x:row r="23" ht="25" customHeight="1">
      <x:c r="A23" s="1" t="str">
        <x:v>Implementation notes flag repeated occurrences, fragments, and the notice that needs a timing change.</x:v>
      </x:c>
      <x:c r="B23" s="1"/>
      <x:c r="C23" s="1"/>
      <x:c r="D23" s="1"/>
      <x:c r="E23" s="1"/>
      <x:c r="F23" s="1"/>
    </x:row>
    <x:row r="24" ht="25" customHeight="1">
      <x:c r="A24" s="1" t="str">
        <x:v>Priorities describe editorial impact, not software defect severity. Clear existing wording was left out.</x:v>
      </x:c>
      <x:c r="B24" s="1"/>
      <x:c r="C24" s="1"/>
      <x:c r="D24" s="1"/>
      <x:c r="E24" s="1"/>
      <x:c r="F24" s="1"/>
    </x:row>
    <x:row r="25">
      <x:c r="A25" s="1"/>
      <x:c r="B25" s="1"/>
      <x:c r="C25" s="1"/>
      <x:c r="D25" s="1"/>
      <x:c r="E25" s="1"/>
      <x:c r="F25" s="1"/>
    </x:row>
    <x:row r="26">
      <x:c r="A26" s="1"/>
      <x:c r="B26" s="1"/>
      <x:c r="C26" s="1"/>
      <x:c r="D26" s="1"/>
      <x:c r="E26" s="1"/>
      <x:c r="F26" s="1"/>
    </x:row>
    <x:row r="27">
      <x:c r="A27" s="7" t="str">
        <x:v>Source snapshot and scope</x:v>
      </x:c>
      <x:c r="B27" s="1"/>
      <x:c r="C27" s="1"/>
      <x:c r="D27" s="1"/>
      <x:c r="E27" s="1"/>
      <x:c r="F27" s="1"/>
    </x:row>
    <x:row r="28" ht="25" customHeight="1">
      <x:c r="A28" s="1" t="str">
        <x:v>Source: /Users/herby/Source/dockhand2. Reviewed October 17, 2026.</x:v>
      </x:c>
      <x:c r="B28" s="1"/>
      <x:c r="C28" s="1"/>
      <x:c r="D28" s="1"/>
      <x:c r="E28" s="1"/>
      <x:c r="F28" s="1"/>
    </x:row>
    <x:row r="29" ht="25" customHeight="1">
      <x:c r="A29" s="1" t="str">
        <x:v>Commit: 88a7c9fba5402b0b3a724f708c99b65b2f8d0919. Working tree was clean.</x:v>
      </x:c>
      <x:c r="B29" s="1"/>
      <x:c r="C29" s="1"/>
      <x:c r="D29" s="1"/>
      <x:c r="E29" s="1"/>
      <x:c r="F29" s="1"/>
    </x:row>
    <x:row r="30" ht="25" customHeight="1">
      <x:c r="A30" s="1" t="str">
        <x:v>Focus: CLI messages, errors, prompts, help, service logs and notifications, and user documentation.</x:v>
      </x:c>
      <x:c r="B30" s="1"/>
      <x:c r="C30" s="1"/>
      <x:c r="D30" s="1"/>
      <x:c r="E30" s="1"/>
      <x:c r="F30" s="1"/>
    </x:row>
    <x:row r="31" ht="25" customHeight="1">
      <x:c r="A31" s="1" t="str">
        <x:v>Reviewed command and engine flows plus relevant port, upstream, GitHub, Tart, and build-provider paths.</x:v>
      </x:c>
      <x:c r="B31" s="1"/>
      <x:c r="C31" s="1"/>
      <x:c r="D31" s="1"/>
      <x:c r="E31" s="1"/>
      <x:c r="F31" s="1"/>
    </x:row>
    <x:row r="32" ht="25" customHeight="1">
      <x:c r="A32" s="1" t="str">
        <x:v>Excluded vendor code, tests, fixtures, historical v2 docs, activity logs, and internal-only diagnostics.</x:v>
      </x:c>
      <x:c r="B32" s="1"/>
      <x:c r="C32" s="1"/>
      <x:c r="D32" s="1"/>
      <x:c r="E32" s="1"/>
      <x:c r="F32" s="1"/>
    </x:row>
    <x:row r="33" ht="25" customHeight="1">
      <x:c r="A33" s="1" t="str">
        <x:v>This is a curated review of worthwhile changes, not an inventory of every string. No source was changed.</x:v>
      </x:c>
      <x:c r="B33" s="1"/>
      <x:c r="C33" s="1"/>
      <x:c r="D33" s="1"/>
      <x:c r="E33" s="1"/>
      <x:c r="F33" s="1"/>
    </x:row>
    <x:row r="34">
      <x:c r="A34" s="1"/>
      <x:c r="B34" s="1"/>
      <x:c r="C34" s="1"/>
      <x:c r="D34" s="1"/>
      <x:c r="E34" s="1"/>
      <x:c r="F34" s="1"/>
    </x:row>
    <x:row r="35">
      <x:c r="A35" s="1"/>
      <x:c r="B35" s="1"/>
      <x:c r="C35" s="1"/>
      <x:c r="D35" s="1"/>
      <x:c r="E35" s="1"/>
      <x:c r="F35" s="1"/>
    </x:row>
    <x:row r="36">
      <x:c r="A36" s="1"/>
      <x:c r="B36" s="1"/>
      <x:c r="C36" s="1"/>
      <x:c r="D36" s="1"/>
      <x:c r="E36" s="1"/>
      <x:c r="F36" s="1"/>
    </x:row>
    <x:row r="37">
      <x:c r="A37" s="1"/>
      <x:c r="B37" s="1"/>
      <x:c r="C37" s="1"/>
      <x:c r="D37" s="1"/>
      <x:c r="E37" s="1"/>
      <x:c r="F37" s="1"/>
    </x:row>
    <x:row r="38">
      <x:c r="A38" s="1"/>
      <x:c r="B38" s="1"/>
      <x:c r="C38" s="1"/>
      <x:c r="D38" s="1"/>
      <x:c r="E38" s="1"/>
      <x:c r="F38" s="1"/>
    </x:row>
    <x:row r="39">
      <x:c r="A39" s="1"/>
      <x:c r="B39" s="1"/>
      <x:c r="C39" s="1"/>
      <x:c r="D39" s="1"/>
      <x:c r="E39" s="1"/>
      <x:c r="F39" s="1"/>
    </x:row>
    <x:row r="40">
      <x:c r="A40" s="1"/>
      <x:c r="B40" s="1"/>
      <x:c r="C40" s="1"/>
      <x:c r="D40" s="1"/>
      <x:c r="E40" s="1"/>
      <x:c r="F40" s="1"/>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1" hidden="0" customWidth="1"/>
    <x:col min="2" max="2" width="72" hidden="0" customWidth="1"/>
    <x:col min="3" max="3" width="72" hidden="0" customWidth="1"/>
    <x:col min="4" max="4" width="49" hidden="0" customWidth="1"/>
    <x:col min="5" max="5" width="8" hidden="0" customWidth="1"/>
    <x:col min="6" max="6" width="51" hidden="0" customWidth="1"/>
    <x:col min="7" max="7" width="51" hidden="0" customWidth="1"/>
    <x:col min="8" max="8" width="57" hidden="0" customWidth="1"/>
    <x:col min="9" max="9" width="12" hidden="0" customWidth="1"/>
    <x:col min="10" max="10" width="18" hidden="0" customWidth="1"/>
  </x:cols>
  <x:sheetData>
    <x:row r="1">
      <x:c r="A1" s="1"/>
      <x:c r="B1" s="1"/>
      <x:c r="C1" s="1"/>
      <x:c r="D1" s="1"/>
      <x:c r="E1" s="1"/>
      <x:c r="F1" s="1"/>
      <x:c r="G1" s="1"/>
      <x:c r="H1" s="1"/>
      <x:c r="I1" s="1"/>
      <x:c r="J1" s="1"/>
    </x:row>
    <x:row r="2" ht="30" customHeight="1">
      <x:c r="A2" s="1"/>
      <x:c r="B2" s="2" t="str">
        <x:v>CLI messages</x:v>
      </x:c>
      <x:c r="C2" s="1"/>
      <x:c r="D2" s="1"/>
      <x:c r="E2" s="1"/>
      <x:c r="F2" s="1"/>
      <x:c r="G2" s="1"/>
      <x:c r="H2" s="1"/>
      <x:c r="I2" s="1"/>
      <x:c r="J2" s="1"/>
    </x:row>
    <x:row r="3">
      <x:c r="A3" s="3"/>
      <x:c r="B3" s="11" t="str">
        <x:v>66 proposals. Source files are relative to ~/Source/dockhand2.</x:v>
      </x:c>
      <x:c r="C3" s="3"/>
      <x:c r="D3" s="3"/>
      <x:c r="E3" s="3"/>
      <x:c r="F3" s="3"/>
      <x:c r="G3" s="3"/>
      <x:c r="H3" s="3"/>
      <x:c r="I3" s="3"/>
      <x:c r="J3" s="3"/>
    </x:row>
    <x:row r="4">
      <x:c r="A4" s="1"/>
      <x:c r="B4" s="1"/>
      <x:c r="C4" s="1"/>
      <x:c r="D4" s="1"/>
      <x:c r="E4" s="1"/>
      <x:c r="F4" s="1"/>
      <x:c r="G4" s="1"/>
      <x:c r="H4" s="1"/>
      <x:c r="I4" s="1"/>
      <x:c r="J4" s="1"/>
    </x:row>
    <x:row r="5" ht="30" customHeight="1">
      <x:c r="A5" s="12" t="str">
        <x:v>ID</x:v>
      </x:c>
      <x:c r="B5" s="12" t="str">
        <x:v>Current message</x:v>
      </x:c>
      <x:c r="C5" s="12" t="str">
        <x:v>Proposed message</x:v>
      </x:c>
      <x:c r="D5" s="12" t="str">
        <x:v>File</x:v>
      </x:c>
      <x:c r="E5" s="12" t="str">
        <x:v>Line</x:v>
      </x:c>
      <x:c r="F5" s="12" t="str">
        <x:v>Context</x:v>
      </x:c>
      <x:c r="G5" s="12" t="str">
        <x:v>Why change it</x:v>
      </x:c>
      <x:c r="H5" s="12" t="str">
        <x:v>Implementation notes</x:v>
      </x:c>
      <x:c r="I5" s="12" t="str">
        <x:v>Priority</x:v>
      </x:c>
      <x:c r="J5" s="12" t="str">
        <x:v>Proposal</x:v>
      </x:c>
    </x:row>
    <x:row r="6" ht="54" customHeight="1">
      <x:c r="A6" s="14" t="str">
        <x:v>CLI-001</x:v>
      </x:c>
      <x:c r="B6" s="14" t="str">
        <x:v>Nothing to update: none of them has a newer release that isn't already in a branch.</x:v>
      </x:c>
      <x:c r="C6" s="14" t="str">
        <x:v>Nothing to update: no newer releases remain outside your existing branches.</x:v>
      </x:c>
      <x:c r="D6" s="14" t="str">
        <x:v>internal/command/author.go</x:v>
      </x:c>
      <x:c r="E6" s="15" t="n">
        <x:v>139</x:v>
      </x:c>
      <x:c r="F6" s="14" t="str">
        <x:v>update --mine found no eligible updates after excluding updates already in branches.</x:v>
      </x:c>
      <x:c r="G6" s="14" t="str">
        <x:v>Removes a nested negative while retaining the reason there is no work.</x:v>
      </x:c>
      <x:c r="H6" s="14" t="str">
        <x:v>Copy only</x:v>
      </x:c>
      <x:c r="I6" s="14" t="str">
        <x:v>Medium</x:v>
      </x:c>
      <x:c r="J6" s="14" t="str">
        <x:v>Recommended</x:v>
      </x:c>
    </x:row>
    <x:row r="7" ht="54" customHeight="1">
      <x:c r="A7" s="16" t="str">
        <x:v>CLI-002</x:v>
      </x:c>
      <x:c r="B7" s="16" t="str">
        <x:v>Will start %s, one a port:
</x:v>
      </x:c>
      <x:c r="C7" s="16" t="str">
        <x:v>Will start %s, one per port:
</x:v>
      </x:c>
      <x:c r="D7" s="16" t="str">
        <x:v>internal/command/author.go</x:v>
      </x:c>
      <x:c r="E7" s="17" t="n">
        <x:v>142</x:v>
      </x:c>
      <x:c r="F7" s="16" t="str">
        <x:v>Preview before update --mine starts branches.</x:v>
      </x:c>
      <x:c r="G7" s="16" t="str">
        <x:v>Corrects an unnatural phrase in a frequent summary.</x:v>
      </x:c>
      <x:c r="H7" s="16" t="str">
        <x:v>Copy only</x:v>
      </x:c>
      <x:c r="I7" s="16" t="str">
        <x:v>Medium</x:v>
      </x:c>
      <x:c r="J7" s="16" t="str">
        <x:v>Recommended</x:v>
      </x:c>
    </x:row>
    <x:row r="8" ht="54" customHeight="1">
      <x:c r="A8" s="14" t="str">
        <x:v>CLI-003</x:v>
      </x:c>
      <x:c r="B8" s="14" t="str">
        <x:v>Renamed %s to %s, for the version it now moves to.
</x:v>
      </x:c>
      <x:c r="C8" s="14" t="str">
        <x:v>Renamed %s to %s to match the update's target version.
</x:v>
      </x:c>
      <x:c r="D8" s="14" t="str">
        <x:v>internal/command/author.go</x:v>
      </x:c>
      <x:c r="E8" s="15" t="n">
        <x:v>410</x:v>
      </x:c>
      <x:c r="F8" s="14" t="str">
        <x:v>An automatically named update branch was renamed for its new target version.</x:v>
      </x:c>
      <x:c r="G8" s="14" t="str">
        <x:v>States why the branch name changed.</x:v>
      </x:c>
      <x:c r="H8" s="14" t="str">
        <x:v>Copy only</x:v>
      </x:c>
      <x:c r="I8" s="14" t="str">
        <x:v>Medium</x:v>
      </x:c>
      <x:c r="J8" s="14" t="str">
        <x:v>Recommended</x:v>
      </x:c>
    </x:row>
    <x:row r="9" ht="54" customHeight="1">
      <x:c r="A9" s="16" t="str">
        <x:v>CLI-004</x:v>
      </x:c>
      <x:c r="B9" s="16" t="str">
        <x:v>%w
Kept: %s, with the edit to %s made and not committed</x:v>
      </x:c>
      <x:c r="C9" s="16" t="str">
        <x:v>%w
Kept branch %s with uncommitted changes to %s.</x:v>
      </x:c>
      <x:c r="D9" s="16" t="str">
        <x:v>internal/command/author.go</x:v>
      </x:c>
      <x:c r="E9" s="17" t="n">
        <x:v>443</x:v>
      </x:c>
      <x:c r="F9" s="16" t="str">
        <x:v>An update failed after making edits in a newly started branch.</x:v>
      </x:c>
      <x:c r="G9" s="16" t="str">
        <x:v>Clearly identifies preserved work after failure.</x:v>
      </x:c>
      <x:c r="H9" s="16" t="str">
        <x:v>Copy only</x:v>
      </x:c>
      <x:c r="I9" s="16" t="str">
        <x:v>High</x:v>
      </x:c>
      <x:c r="J9" s="16" t="str">
        <x:v>Recommended</x:v>
      </x:c>
    </x:row>
    <x:row r="10" ht="54" customHeight="1">
      <x:c r="A10" s="14" t="str">
        <x:v>CLI-005</x:v>
      </x:c>
      <x:c r="B10" s="14" t="str">
        <x:v>A new major version: what depends on %s may need to follow.
</x:v>
      </x:c>
      <x:c r="C10" s="14" t="str">
        <x:v>New major version: ports that depend on %s may also need updates.
</x:v>
      </x:c>
      <x:c r="D10" s="14" t="str">
        <x:v>internal/command/author.go</x:v>
      </x:c>
      <x:c r="E10" s="15" t="n">
        <x:v>473</x:v>
      </x:c>
      <x:c r="F10" s="14" t="str">
        <x:v>An update crosses a major-version boundary.</x:v>
      </x:c>
      <x:c r="G10" s="14" t="str">
        <x:v>Names the potentially affected ports and the action they may need.</x:v>
      </x:c>
      <x:c r="H10" s="14" t="str">
        <x:v>Copy only</x:v>
      </x:c>
      <x:c r="I10" s="14" t="str">
        <x:v>Medium</x:v>
      </x:c>
      <x:c r="J10" s="14" t="str">
        <x:v>Recommended</x:v>
      </x:c>
    </x:row>
    <x:row r="11" ht="60" customHeight="1">
      <x:c r="A11" s="16" t="str">
        <x:v>CLI-006</x:v>
      </x:c>
      <x:c r="B11" s="16" t="str">
        <x:v>Its obsolete %s moves to %s too, in the same commit.
</x:v>
      </x:c>
      <x:c r="C11" s="16" t="str">
        <x:v>Also updating obsolete port %s to %s; tidy will include both updates in one commit.
</x:v>
      </x:c>
      <x:c r="D11" s="16" t="str">
        <x:v>internal/command/author.go</x:v>
      </x:c>
      <x:c r="E11" s="17" t="n">
        <x:v>478</x:v>
      </x:c>
      <x:c r="F11" s="16" t="str">
        <x:v>An obsolete compatibility port follows the updated version; edits are still uncommitted.</x:v>
      </x:c>
      <x:c r="G11" s="16" t="str">
        <x:v>Avoids implying a commit already exists and makes the related edit explicit.</x:v>
      </x:c>
      <x:c r="H11" s="16" t="str">
        <x:v>Copy only</x:v>
      </x:c>
      <x:c r="I11" s="16" t="str">
        <x:v>High</x:v>
      </x:c>
      <x:c r="J11" s="16" t="str">
        <x:v>Recommended</x:v>
      </x:c>
    </x:row>
    <x:row r="12" ht="60" customHeight="1">
      <x:c r="A12" s="14" t="str">
        <x:v>CLI-007</x:v>
      </x:c>
      <x:c r="B12" s="14" t="str">
        <x:v>Followed the move: github.setup now names %s, which GitHub answers %s as.
</x:v>
      </x:c>
      <x:c r="C12" s="14" t="str">
        <x:v>Updated github.setup to %s, the current GitHub location of %s.
</x:v>
      </x:c>
      <x:c r="D12" s="14" t="str">
        <x:v>internal/command/author.go</x:v>
      </x:c>
      <x:c r="E12" s="15" t="n">
        <x:v>484</x:v>
      </x:c>
      <x:c r="F12" s="14" t="str">
        <x:v>--follow-moves updates github.setup from the release repository (second argument) to its redirected location (first argument).</x:v>
      </x:c>
      <x:c r="G12" s="14" t="str">
        <x:v>Names the edited field and explains the redirect.</x:v>
      </x:c>
      <x:c r="H12" s="14" t="str">
        <x:v>Copy only</x:v>
      </x:c>
      <x:c r="I12" s="14" t="str">
        <x:v>Medium</x:v>
      </x:c>
      <x:c r="J12" s="14" t="str">
        <x:v>Recommended</x:v>
      </x:c>
    </x:row>
    <x:row r="13" ht="60" customHeight="1">
      <x:c r="A13" s="16" t="str">
        <x:v>CLI-008</x:v>
      </x:c>
      <x:c r="B13" s="16" t="str">
        <x:v>Upstream moved: GitHub answers %s as %s, by a redirect; update --follow-moves points github.setup at it.
</x:v>
      </x:c>
      <x:c r="C13" s="16" t="str">
        <x:v>Upstream moved: GitHub redirects %s to %s. Use update --follow-moves to update github.setup.
</x:v>
      </x:c>
      <x:c r="D13" s="16" t="str">
        <x:v>internal/command/author.go</x:v>
      </x:c>
      <x:c r="E13" s="17" t="n">
        <x:v>486</x:v>
      </x:c>
      <x:c r="F13" s="16" t="str">
        <x:v>An upstream redirect was detected but not followed in the Portfile.</x:v>
      </x:c>
      <x:c r="G13" s="16" t="str">
        <x:v>Separates the observation from the corrective option.</x:v>
      </x:c>
      <x:c r="H13" s="16" t="str">
        <x:v>Copy only</x:v>
      </x:c>
      <x:c r="I13" s="16" t="str">
        <x:v>Medium</x:v>
      </x:c>
      <x:c r="J13" s="16" t="str">
        <x:v>Recommended</x:v>
      </x:c>
    </x:row>
    <x:row r="14" ht="60" customHeight="1">
      <x:c r="A14" s="14" t="str">
        <x:v>CLI-009</x:v>
      </x:c>
      <x:c r="B14" s="14" t="str">
        <x:v>The Portfile pinned %s %s over the lock's %s; the new lock has %s, so the pin is dropped.
</x:v>
      </x:c>
      <x:c r="C14" s="14" t="str">
        <x:v>Removed the Portfile pin for %s %s (lockfile version: %s); the new lockfile now specifies %s.
</x:v>
      </x:c>
      <x:c r="D14" s="14" t="str">
        <x:v>internal/command/author.go</x:v>
      </x:c>
      <x:c r="E14" s="15" t="n">
        <x:v>573</x:v>
      </x:c>
      <x:c r="F14" s="14" t="str">
        <x:v>A dependency override is dropped after regenerating a lockfile-derived dependency block.</x:v>
      </x:c>
      <x:c r="G14" s="14" t="str">
        <x:v>Explains the removed pin with clear references to the old and new lockfiles.</x:v>
      </x:c>
      <x:c r="H14" s="14" t="str">
        <x:v>Copy only</x:v>
      </x:c>
      <x:c r="I14" s="14" t="str">
        <x:v>Medium</x:v>
      </x:c>
      <x:c r="J14" s="14" t="str">
        <x:v>Recommended</x:v>
      </x:c>
    </x:row>
    <x:row r="15" ht="54" customHeight="1">
      <x:c r="A15" s="16" t="str">
        <x:v>CLI-010</x:v>
      </x:c>
      <x:c r="B15" s="16" t="str">
        <x:v>The source changed, so the revision is bumped; --no-revbump leaves it, for a change that needs no rebuild.</x:v>
      </x:c>
      <x:c r="C15" s="16" t="str">
        <x:v>Bumped the revision because the source changed. Use --no-revbump only if the change needs no rebuild.</x:v>
      </x:c>
      <x:c r="D15" s="16" t="str">
        <x:v>internal/command/author.go</x:v>
      </x:c>
      <x:c r="E15" s="17" t="n">
        <x:v>590</x:v>
      </x:c>
      <x:c r="F15" s="16" t="str">
        <x:v>A checksum refresh detected a stealth update and bumped the revision.</x:v>
      </x:c>
      <x:c r="G15" s="16" t="str">
        <x:v>Separates the action taken from the conditional override.</x:v>
      </x:c>
      <x:c r="H15" s="16" t="str">
        <x:v>Copy only</x:v>
      </x:c>
      <x:c r="I15" s="16" t="str">
        <x:v>Medium</x:v>
      </x:c>
      <x:c r="J15" s="16" t="str">
        <x:v>Recommended</x:v>
      </x:c>
    </x:row>
    <x:row r="16" ht="75" customHeight="1">
      <x:c r="A16" s="14" t="str">
        <x:v>CLI-011</x:v>
      </x:c>
      <x:c r="B16" s="14" t="str">
        <x:v>can't refresh %s's checksums by itself: %s%s
Write them yourself; its archives have these now:
    %s
  dockhand edit %s</x:v>
      </x:c>
      <x:c r="C16" s="14" t="str">
        <x:v>Could not update the checksums for %s automatically: %s%s
Use these checksums in the Portfile:
    %s
Edit with: dockhand edit %s</x:v>
      </x:c>
      <x:c r="D16" s="14" t="str">
        <x:v>internal/command/author.go</x:v>
      </x:c>
      <x:c r="E16" s="15" t="n">
        <x:v>675</x:v>
      </x:c>
      <x:c r="F16" s="14" t="str">
        <x:v>Checksum calculation succeeded, but Dockhand cannot safely edit the Portfile.</x:v>
      </x:c>
      <x:c r="G16" s="14" t="str">
        <x:v>States the automation limit and provides exact manual instructions.</x:v>
      </x:c>
      <x:c r="H16" s="14" t="str">
        <x:v>Copy only</x:v>
      </x:c>
      <x:c r="I16" s="14" t="str">
        <x:v>High</x:v>
      </x:c>
      <x:c r="J16" s="14" t="str">
        <x:v>Recommended</x:v>
      </x:c>
    </x:row>
    <x:row r="17" ht="75" customHeight="1">
      <x:c r="A17" s="16" t="str">
        <x:v>CLI-012</x:v>
      </x:c>
      <x:c r="B17" s="16" t="str">
        <x:v>can't refresh %s's checksums by itself: %s%s
Write them yourself, as port checksum %s reports them:
  dockhand edit %s</x:v>
      </x:c>
      <x:c r="C17" s="16" t="str">
        <x:v>Could not update the checksums for %s automatically: %s%s
Run port checksum %s, then copy the reported checksums into the Portfile.
Edit with: dockhand edit %s</x:v>
      </x:c>
      <x:c r="D17" s="16" t="str">
        <x:v>internal/command/author.go</x:v>
      </x:c>
      <x:c r="E17" s="17" t="n">
        <x:v>677</x:v>
      </x:c>
      <x:c r="F17" s="16" t="str">
        <x:v>Dockhand cannot refresh checksums automatically and delegates reporting to MacPorts.</x:v>
      </x:c>
      <x:c r="G17" s="16" t="str">
        <x:v>Replaces anthropomorphic wording and explains the command sequence.</x:v>
      </x:c>
      <x:c r="H17" s="16" t="str">
        <x:v>Copy only</x:v>
      </x:c>
      <x:c r="I17" s="16" t="str">
        <x:v>High</x:v>
      </x:c>
      <x:c r="J17" s="16" t="str">
        <x:v>Recommended</x:v>
      </x:c>
    </x:row>
    <x:row r="18" ht="75" customHeight="1">
      <x:c r="A18" s="14" t="str">
        <x:v>CLI-013</x:v>
      </x:c>
      <x:c r="B18" s="14" t="str">
        <x:v>can't update %s by itself: %s%s
Edit the version yourself; dockhand checksums %s then prints the checksums to write:
  dockhand edit %s</x:v>
      </x:c>
      <x:c r="C18" s="14" t="str">
        <x:v>Could not update %s automatically: %s%s
Edit the version, then run dockhand checksums %s to print the checksums to copy into the Portfile.
Edit with: dockhand edit %s</x:v>
      </x:c>
      <x:c r="D18" s="14" t="str">
        <x:v>internal/command/author.go</x:v>
      </x:c>
      <x:c r="E18" s="15" t="n">
        <x:v>679</x:v>
      </x:c>
      <x:c r="F18" s="14" t="str">
        <x:v>Dockhand cannot locate fields safely, but can report checksums after a manual version edit.</x:v>
      </x:c>
      <x:c r="G18" s="14" t="str">
        <x:v>Gives the required order and says where the printed checksums belong.</x:v>
      </x:c>
      <x:c r="H18" s="14" t="str">
        <x:v>Copy only</x:v>
      </x:c>
      <x:c r="I18" s="14" t="str">
        <x:v>High</x:v>
      </x:c>
      <x:c r="J18" s="14" t="str">
        <x:v>Recommended</x:v>
      </x:c>
    </x:row>
    <x:row r="19" ht="75" customHeight="1">
      <x:c r="A19" s="16" t="str">
        <x:v>CLI-014</x:v>
      </x:c>
      <x:c r="B19" s="16" t="str">
        <x:v>can't update %s by itself: %s%s
Edit the version and its checksums yourself; port checksum %s, after the version's edit, says what its archives have:
  dockhand edit %s</x:v>
      </x:c>
      <x:c r="C19" s="16" t="str">
        <x:v>Could not update %s automatically: %s%s
Edit the version, run port checksum %s, then copy the reported checksums into the Portfile.
Edit with: dockhand edit %s</x:v>
      </x:c>
      <x:c r="D19" s="16" t="str">
        <x:v>internal/command/author.go</x:v>
      </x:c>
      <x:c r="E19" s="17" t="n">
        <x:v>686</x:v>
      </x:c>
      <x:c r="F19" s="16" t="str">
        <x:v>Automatic update and Dockhand checksum refresh share the same limitation; MacPorts is the fallback.</x:v>
      </x:c>
      <x:c r="G19" s="16" t="str">
        <x:v>Preserves the viable fallback and removes convoluted instructions.</x:v>
      </x:c>
      <x:c r="H19" s="16" t="str">
        <x:v>Copy only</x:v>
      </x:c>
      <x:c r="I19" s="16" t="str">
        <x:v>High</x:v>
      </x:c>
      <x:c r="J19" s="16" t="str">
        <x:v>Recommended</x:v>
      </x:c>
    </x:row>
    <x:row r="20" ht="60" customHeight="1">
      <x:c r="A20" s="14" t="str">
        <x:v>CLI-015</x:v>
      </x:c>
      <x:c r="B20" s="14" t="str">
        <x:v>Dropped patch %s, which the new source already holds; its file goes too.
</x:v>
      </x:c>
      <x:c r="C20" s="14" t="str">
        <x:v>Removed patch %s and its file; the new source already includes the fix.
</x:v>
      </x:c>
      <x:c r="D20" s="14" t="str">
        <x:v>internal/command/author.go</x:v>
      </x:c>
      <x:c r="E20" s="15" t="n">
        <x:v>931</x:v>
      </x:c>
      <x:c r="F20" s="14" t="str">
        <x:v>An update removes a patch already incorporated upstream.</x:v>
      </x:c>
      <x:c r="G20" s="14" t="str">
        <x:v>States both deletions directly and gives the reason.</x:v>
      </x:c>
      <x:c r="H20" s="14" t="str">
        <x:v>Copy only</x:v>
      </x:c>
      <x:c r="I20" s="14" t="str">
        <x:v>Medium</x:v>
      </x:c>
      <x:c r="J20" s="14" t="str">
        <x:v>Recommended</x:v>
      </x:c>
    </x:row>
    <x:row r="21" ht="60" customHeight="1">
      <x:c r="A21" s="16" t="str">
        <x:v>CLI-016</x:v>
      </x:c>
      <x:c r="B21" s="16" t="str">
        <x:v>! %s isn't tracked, so this check builds without it: --include %s takes it into this check, and git add %s keeps it
</x:v>
      </x:c>
      <x:c r="C21" s="16" t="str">
        <x:v>! %s is untracked and excluded from this check. Use --include %s for this check only, or git add %s to track it.
</x:v>
      </x:c>
      <x:c r="D21" s="16" t="str">
        <x:v>internal/command/check.go</x:v>
      </x:c>
      <x:c r="E21" s="17" t="n">
        <x:v>121</x:v>
      </x:c>
      <x:c r="F21" s="16" t="str">
        <x:v>A check excludes an untracked file under a port being built.</x:v>
      </x:c>
      <x:c r="G21" s="16" t="str">
        <x:v>Makes exclusion and the two remedies explicit.</x:v>
      </x:c>
      <x:c r="H21" s="16" t="str">
        <x:v>Copy only</x:v>
      </x:c>
      <x:c r="I21" s="16" t="str">
        <x:v>High</x:v>
      </x:c>
      <x:c r="J21" s="16" t="str">
        <x:v>Recommended</x:v>
      </x:c>
    </x:row>
    <x:row r="22" ht="60" customHeight="1">
      <x:c r="A22" s="14" t="str">
        <x:v>CLI-017</x:v>
      </x:c>
      <x:c r="B22" s="14" t="str">
        <x:v>  %s is a new port's: dockhand check --include %s/Portfile builds it, and git sparse-checkout add %s lets git add take it
</x:v>
      </x:c>
      <x:c r="C22" s="14" t="str">
        <x:v>  New port directory %s: run dockhand check --include %s/Portfile to build it. Run git sparse-checkout add %s before staging its files.
</x:v>
      </x:c>
      <x:c r="D22" s="14" t="str">
        <x:v>internal/command/check.go</x:v>
      </x:c>
      <x:c r="E22" s="15" t="n">
        <x:v>130</x:v>
      </x:c>
      <x:c r="F22" s="14" t="str">
        <x:v>An untracked new Portfile is outside the sparse checkout.</x:v>
      </x:c>
      <x:c r="G22" s="14" t="str">
        <x:v>Replaces unclear possessives with the exact build and staging steps.</x:v>
      </x:c>
      <x:c r="H22" s="14" t="str">
        <x:v>Copy only</x:v>
      </x:c>
      <x:c r="I22" s="14" t="str">
        <x:v>High</x:v>
      </x:c>
      <x:c r="J22" s="14" t="str">
        <x:v>Recommended</x:v>
      </x:c>
    </x:row>
    <x:row r="23" ht="54" customHeight="1">
      <x:c r="A23" s="16" t="str">
        <x:v>CLI-018</x:v>
      </x:c>
      <x:c r="B23" s="16" t="str">
        <x:v>Reuse       a port whose earlier passed build read the same files is reused when the check runs, not built; --fresh builds every port</x:v>
      </x:c>
      <x:c r="C23" s="16" t="str">
        <x:v>Reuse       when this check runs, it may reuse passing builds with identical inputs; --fresh rebuilds every port</x:v>
      </x:c>
      <x:c r="D23" s="16" t="str">
        <x:v>internal/command/check.go</x:v>
      </x:c>
      <x:c r="E23" s="17" t="n">
        <x:v>147</x:v>
      </x:c>
      <x:c r="F23" s="16" t="str">
        <x:v>A planned check may reuse prior build evidence; reuse is determined when it actually runs.</x:v>
      </x:c>
      <x:c r="G23" s="16" t="str">
        <x:v>Explains the timing and condition in fewer words.</x:v>
      </x:c>
      <x:c r="H23" s="16" t="str">
        <x:v>Copy only</x:v>
      </x:c>
      <x:c r="I23" s="16" t="str">
        <x:v>Medium</x:v>
      </x:c>
      <x:c r="J23" s="16" t="str">
        <x:v>Recommended</x:v>
      </x:c>
    </x:row>
    <x:row r="24" ht="54" customHeight="1">
      <x:c r="A24" s="14" t="str">
        <x:v>CLI-019</x:v>
      </x:c>
      <x:c r="B24" s="14" t="str">
        <x:v>check.baseline runs it now:</x:v>
      </x:c>
      <x:c r="C24" s="14" t="str">
        <x:v>Running a baseline comparison because check.baseline is enabled:</x:v>
      </x:c>
      <x:c r="D24" s="14" t="str">
        <x:v>internal/command/check.go</x:v>
      </x:c>
      <x:c r="E24" s="15" t="n">
        <x:v>181</x:v>
      </x:c>
      <x:c r="F24" s="14" t="str">
        <x:v>A failed check automatically triggers a configured baseline run.</x:v>
      </x:c>
      <x:c r="G24" s="14" t="str">
        <x:v>Names what is being run and why.</x:v>
      </x:c>
      <x:c r="H24" s="14" t="str">
        <x:v>Copy only</x:v>
      </x:c>
      <x:c r="I24" s="14" t="str">
        <x:v>Medium</x:v>
      </x:c>
      <x:c r="J24" s="14" t="str">
        <x:v>Recommended</x:v>
      </x:c>
    </x:row>
    <x:row r="25" ht="54" customHeight="1">
      <x:c r="A25" s="16" t="str">
        <x:v>CLI-020</x:v>
      </x:c>
      <x:c r="B25" s="16" t="str">
        <x:v>%s queued; nothing is running it: dockhand serve
</x:v>
      </x:c>
      <x:c r="C25" s="16" t="str">
        <x:v>%s queued. Start dockhand serve to run it.
</x:v>
      </x:c>
      <x:c r="D25" s="16" t="str">
        <x:v>internal/command/check.go</x:v>
      </x:c>
      <x:c r="E25" s="17" t="n">
        <x:v>235</x:v>
      </x:c>
      <x:c r="F25" s="16" t="str">
        <x:v>A check was queued but no serve process is available.</x:v>
      </x:c>
      <x:c r="G25" s="16" t="str">
        <x:v>Turns the bare command into an actionable instruction.</x:v>
      </x:c>
      <x:c r="H25" s="16" t="str">
        <x:v>Copy only</x:v>
      </x:c>
      <x:c r="I25" s="16" t="str">
        <x:v>High</x:v>
      </x:c>
      <x:c r="J25" s="16" t="str">
        <x:v>Recommended</x:v>
      </x:c>
    </x:row>
    <x:row r="26" ht="60" customHeight="1">
      <x:c r="A26" s="14" t="str">
        <x:v>CLI-021</x:v>
      </x:c>
      <x:c r="B26" s="14" t="str">
        <x:v>%s queued; nothing is running it: dockhand serve
</x:v>
      </x:c>
      <x:c r="C26" s="14" t="str">
        <x:v>%s queued, waiting for dockhand serve. Run dockhand serve to start processing checks.
</x:v>
      </x:c>
      <x:c r="D26" s="14" t="str">
        <x:v>internal/command/check.go</x:v>
      </x:c>
      <x:c r="E26" s="15" t="n">
        <x:v>235</x:v>
      </x:c>
      <x:c r="F26" s="14" t="str">
        <x:v>A check was queued but no serve process is available.</x:v>
      </x:c>
      <x:c r="G26" s="14" t="str">
        <x:v>Spells out the queue state and why nothing is running.</x:v>
      </x:c>
      <x:c r="H26" s="14" t="str">
        <x:v>Copy only</x:v>
      </x:c>
      <x:c r="I26" s="14" t="str">
        <x:v>High</x:v>
      </x:c>
      <x:c r="J26" s="14" t="str">
        <x:v>Alternative</x:v>
      </x:c>
    </x:row>
    <x:row r="27" ht="60" customHeight="1">
      <x:c r="A27" s="16" t="str">
        <x:v>CLI-022</x:v>
      </x:c>
      <x:c r="B27" s="16" t="str">
        <x:v>Pushes      the revision to a %s branch of your fork, where MacPorts' workflow builds it, and removes the branch once the run is read
</x:v>
      </x:c>
      <x:c r="C27" s="16" t="str">
        <x:v>Pushes      this revision to a %s branch in your fork for the MacPorts workflow; removes that branch after reading the run's results
</x:v>
      </x:c>
      <x:c r="D27" s="16" t="str">
        <x:v>internal/command/check.go</x:v>
      </x:c>
      <x:c r="E27" s="17" t="n">
        <x:v>266</x:v>
      </x:c>
      <x:c r="F27" s="16" t="str">
        <x:v>The plan includes GitHub Actions and will push a temporary branch to the fork.</x:v>
      </x:c>
      <x:c r="G27" s="16" t="str">
        <x:v>Makes the remote write and cleanup condition clear.</x:v>
      </x:c>
      <x:c r="H27" s="16" t="str">
        <x:v>Copy only</x:v>
      </x:c>
      <x:c r="I27" s="16" t="str">
        <x:v>Medium</x:v>
      </x:c>
      <x:c r="J27" s="16" t="str">
        <x:v>Recommended</x:v>
      </x:c>
    </x:row>
    <x:row r="28" ht="54" customHeight="1">
      <x:c r="A28" s="14" t="str">
        <x:v>CLI-023</x:v>
      </x:c>
      <x:c r="B28" s="14" t="str">
        <x:v>nothing in it can be built where it asks; see Not built</x:v>
      </x:c>
      <x:c r="C28" s="14" t="str">
        <x:v>none of the planned ports can build in the selected environments; see Not built</x:v>
      </x:c>
      <x:c r="D28" s="14" t="str">
        <x:v>internal/command/check.go</x:v>
      </x:c>
      <x:c r="E28" s="15" t="n">
        <x:v>275</x:v>
      </x:c>
      <x:c r="F28" s="14" t="str">
        <x:v>No targets in a check plan can run in the selected environments.</x:v>
      </x:c>
      <x:c r="G28" s="14" t="str">
        <x:v>Replaces indefinite pronouns with the affected ports and environments.</x:v>
      </x:c>
      <x:c r="H28" s="14" t="str">
        <x:v>Copy only</x:v>
      </x:c>
      <x:c r="I28" s="14" t="str">
        <x:v>Medium</x:v>
      </x:c>
      <x:c r="J28" s="14" t="str">
        <x:v>Recommended</x:v>
      </x:c>
    </x:row>
    <x:row r="29" ht="60" customHeight="1">
      <x:c r="A29" s="16" t="str">
        <x:v>CLI-024</x:v>
      </x:c>
      <x:c r="B29" s="16" t="str">
        <x:v>No tests    %s declares none, so requiring them asks nothing of it
</x:v>
      </x:c>
      <x:c r="C29" s="16" t="str">
        <x:v>No tests    %s declares no tests; --tests required adds no test requirement for this port
</x:v>
      </x:c>
      <x:c r="D29" s="16" t="str">
        <x:v>internal/command/check.go</x:v>
      </x:c>
      <x:c r="E29" s="17" t="n">
        <x:v>333</x:v>
      </x:c>
      <x:c r="F29" s="16" t="str">
        <x:v>The required-tests policy cannot run tests for a port declaring none.</x:v>
      </x:c>
      <x:c r="G29" s="16" t="str">
        <x:v>Clarifies a surprising policy outcome without implying tests passed.</x:v>
      </x:c>
      <x:c r="H29" s="16" t="str">
        <x:v>Copy only</x:v>
      </x:c>
      <x:c r="I29" s="16" t="str">
        <x:v>High</x:v>
      </x:c>
      <x:c r="J29" s="16" t="str">
        <x:v>Recommended</x:v>
      </x:c>
    </x:row>
    <x:row r="30" ht="60" customHeight="1">
      <x:c r="A30" s="14" t="str">
        <x:v>CLI-025</x:v>
      </x:c>
      <x:c r="B30" s="14" t="str">
        <x:v>No tests    %s declare none, so requiring them asks nothing of them
</x:v>
      </x:c>
      <x:c r="C30" s="14" t="str">
        <x:v>No tests    %s declare no tests; --tests required adds no test requirement for these ports
</x:v>
      </x:c>
      <x:c r="D30" s="14" t="str">
        <x:v>internal/command/check.go</x:v>
      </x:c>
      <x:c r="E30" s="15" t="n">
        <x:v>335</x:v>
      </x:c>
      <x:c r="F30" s="14" t="str">
        <x:v>Plural form of the required-tests notice.</x:v>
      </x:c>
      <x:c r="G30" s="14" t="str">
        <x:v>Keeps the same policy explanation clear for multiple ports.</x:v>
      </x:c>
      <x:c r="H30" s="14" t="str">
        <x:v>Copy only</x:v>
      </x:c>
      <x:c r="I30" s="14" t="str">
        <x:v>High</x:v>
      </x:c>
      <x:c r="J30" s="14" t="str">
        <x:v>Recommended</x:v>
      </x:c>
    </x:row>
    <x:row r="31" ht="60" customHeight="1">
      <x:c r="A31" s="16" t="str">
        <x:v>CLI-026</x:v>
      </x:c>
      <x:c r="B31" s="16" t="str">
        <x:v>  · left out: %s, which failed before building, at lint, fetch, or checksum; --only builds them anyway
</x:v>
      </x:c>
      <x:c r="C31" s="16" t="str">
        <x:v>  · skipped in this baseline: %s failed at lint, fetch, or checksum. Use --only to include them.
</x:v>
      </x:c>
      <x:c r="D31" s="16" t="str">
        <x:v>internal/command/check.go</x:v>
      </x:c>
      <x:c r="E31" s="17" t="n">
        <x:v>732</x:v>
      </x:c>
      <x:c r="F31" s="16" t="str">
        <x:v>Baseline selection normally excludes failures before install or test.</x:v>
      </x:c>
      <x:c r="G31" s="16" t="str">
        <x:v>Names the selection scope and the override.</x:v>
      </x:c>
      <x:c r="H31" s="16" t="str">
        <x:v>Copy only</x:v>
      </x:c>
      <x:c r="I31" s="16" t="str">
        <x:v>Medium</x:v>
      </x:c>
      <x:c r="J31" s="16" t="str">
        <x:v>Recommended</x:v>
      </x:c>
    </x:row>
    <x:row r="32" ht="54" customHeight="1">
      <x:c r="A32" s="14" t="str">
        <x:v>CLI-027</x:v>
      </x:c>
      <x:c r="B32" s="14" t="str">
        <x:v>its tests %s at the base too, as in %s, so they did before this branch.</x:v>
      </x:c>
      <x:c r="C32" s="14" t="str">
        <x:v>tests %s at the base and in %s; the failure also occurs without this branch's changes.</x:v>
      </x:c>
      <x:c r="D32" s="14" t="str">
        <x:v>internal/command/check.go</x:v>
      </x:c>
      <x:c r="E32" s="15" t="n">
        <x:v>800</x:v>
      </x:c>
      <x:c r="F32" s="14" t="str">
        <x:v>Baseline and branch both have failed or timed-out advisory tests.</x:v>
      </x:c>
      <x:c r="G32" s="14" t="str">
        <x:v>Explains the comparison without an unclear temporal clause.</x:v>
      </x:c>
      <x:c r="H32" s="14" t="str">
        <x:v>Copy only</x:v>
      </x:c>
      <x:c r="I32" s="14" t="str">
        <x:v>Medium</x:v>
      </x:c>
      <x:c r="J32" s="14" t="str">
        <x:v>Recommended</x:v>
      </x:c>
    </x:row>
    <x:row r="33" ht="60" customHeight="1">
      <x:c r="A33" s="16" t="str">
        <x:v>CLI-028</x:v>
      </x:c>
      <x:c r="B33" s="16" t="str">
        <x:v>Variants    %s with its defaults, then with each of %s over them (universal left out)
</x:v>
      </x:c>
      <x:c r="C33" s="16" t="str">
        <x:v>Variants    %s with default variants, then each of %s added to the defaults (excluding universal)
</x:v>
      </x:c>
      <x:c r="D33" s="16" t="str">
        <x:v>internal/command/check.go</x:v>
      </x:c>
      <x:c r="E33" s="17" t="n">
        <x:v>899</x:v>
      </x:c>
      <x:c r="F33" s="16" t="str">
        <x:v>check --variants each lists its planned variant builds.</x:v>
      </x:c>
      <x:c r="G33" s="16" t="str">
        <x:v>Clarifies that each variant is tested separately with defaults.</x:v>
      </x:c>
      <x:c r="H33" s="16" t="str">
        <x:v>Copy only</x:v>
      </x:c>
      <x:c r="I33" s="16" t="str">
        <x:v>Medium</x:v>
      </x:c>
      <x:c r="J33" s="16" t="str">
        <x:v>Recommended</x:v>
      </x:c>
    </x:row>
    <x:row r="34" ht="54" customHeight="1">
      <x:c r="A34" s="14" t="str">
        <x:v>CLI-029</x:v>
      </x:c>
      <x:c r="B34" s="14" t="str">
        <x:v>? --variants each makes %d builds, each a whole build; go ahead? [y/N] </x:v>
      </x:c>
      <x:c r="C34" s="14" t="str">
        <x:v>? --variants each will run %d full builds. Continue? [y/N] </x:v>
      </x:c>
      <x:c r="D34" s="14" t="str">
        <x:v>internal/command/check.go</x:v>
      </x:c>
      <x:c r="E34" s="15" t="n">
        <x:v>916</x:v>
      </x:c>
      <x:c r="F34" s="14" t="str">
        <x:v>The variant matrix exceeds the confirmation threshold.</x:v>
      </x:c>
      <x:c r="G34" s="14" t="str">
        <x:v>States the cost of proceeding in a direct confirmation prompt.</x:v>
      </x:c>
      <x:c r="H34" s="14" t="str">
        <x:v>Copy only</x:v>
      </x:c>
      <x:c r="I34" s="14" t="str">
        <x:v>Medium</x:v>
      </x:c>
      <x:c r="J34" s="14" t="str">
        <x:v>Recommended</x:v>
      </x:c>
    </x:row>
    <x:row r="35" ht="54" customHeight="1">
      <x:c r="A35" s="16" t="str">
        <x:v>CLI-030</x:v>
      </x:c>
      <x:c r="B35" s="16" t="str">
        <x:v>whether a subport is named %s wasn't checked: %s
</x:v>
      </x:c>
      <x:c r="C35" s="16" t="str">
        <x:v>Couldn't check whether a subport named %s already exists: %s
</x:v>
      </x:c>
      <x:c r="D35" s="16" t="str">
        <x:v>internal/command/create.go</x:v>
      </x:c>
      <x:c r="E35" s="17" t="n">
        <x:v>101</x:v>
      </x:c>
      <x:c r="F35" s="16" t="str">
        <x:v>Creating a port; checking for a conflicting subport name failed.</x:v>
      </x:c>
      <x:c r="G35" s="16" t="str">
        <x:v>Leads with the failed check and makes the possible naming conflict explicit.</x:v>
      </x:c>
      <x:c r="H35" s="16" t="str">
        <x:v>Copy only</x:v>
      </x:c>
      <x:c r="I35" s="16" t="str">
        <x:v>Medium</x:v>
      </x:c>
      <x:c r="J35" s="16" t="str">
        <x:v>Recommended</x:v>
      </x:c>
    </x:row>
    <x:row r="36" ht="54" customHeight="1">
      <x:c r="A36" s="14" t="str">
        <x:v>CLI-031</x:v>
      </x:c>
      <x:c r="B36" s="14" t="str">
        <x:v>create writes in a branch: --new starts one, or --branch names one</x:v>
      </x:c>
      <x:c r="C36" s="14" t="str">
        <x:v>create needs a branch. Use --new to start one or --branch to choose an existing one.</x:v>
      </x:c>
      <x:c r="D36" s="14" t="str">
        <x:v>internal/command/create.go</x:v>
      </x:c>
      <x:c r="E36" s="15" t="n">
        <x:v>114</x:v>
      </x:c>
      <x:c r="F36" s="14" t="str">
        <x:v>No tracked branch is available for the new Portfile.</x:v>
      </x:c>
      <x:c r="G36" s="14" t="str">
        <x:v>Names the requirement and provides two clear recovery actions.</x:v>
      </x:c>
      <x:c r="H36" s="14" t="str">
        <x:v>Copy only</x:v>
      </x:c>
      <x:c r="I36" s="14" t="str">
        <x:v>Medium</x:v>
      </x:c>
      <x:c r="J36" s="14" t="str">
        <x:v>Recommended</x:v>
      </x:c>
    </x:row>
    <x:row r="37" ht="54" customHeight="1">
      <x:c r="A37" s="16" t="str">
        <x:v>CLI-032</x:v>
      </x:c>
      <x:c r="B37" s="16" t="str">
        <x:v>Moved %s from %s to %s, its files as they were, your edits included
</x:v>
      </x:c>
      <x:c r="C37" s="16" t="str">
        <x:v>Moved %s from %s to %s, preserving all files and your edits.
</x:v>
      </x:c>
      <x:c r="D37" s="16" t="str">
        <x:v>internal/command/create.go</x:v>
      </x:c>
      <x:c r="E37" s="17" t="n">
        <x:v>141</x:v>
      </x:c>
      <x:c r="F37" s="16" t="str">
        <x:v>create relocated an existing newly created port.</x:v>
      </x:c>
      <x:c r="G37" s="16" t="str">
        <x:v>Replaces a dangling clause with a direct statement of what was preserved.</x:v>
      </x:c>
      <x:c r="H37" s="16" t="str">
        <x:v>Copy only</x:v>
      </x:c>
      <x:c r="I37" s="16" t="str">
        <x:v>Medium</x:v>
      </x:c>
      <x:c r="J37" s="16" t="str">
        <x:v>Recommended</x:v>
      </x:c>
    </x:row>
    <x:row r="38" ht="60" customHeight="1">
      <x:c r="A38" s="14" t="str">
        <x:v>CLI-033</x:v>
      </x:c>
      <x:c r="B38" s="14" t="str">
        <x:v>  checksums: not filled in: %s
    dockhand checksums %s fills them in once that is fixed
</x:v>
      </x:c>
      <x:c r="C38" s="14" t="str">
        <x:v>  checksums: not generated: %s
    Resolve this issue, then run dockhand checksums %s.
</x:v>
      </x:c>
      <x:c r="D38" s="14" t="str">
        <x:v>internal/command/create.go</x:v>
      </x:c>
      <x:c r="E38" s="15" t="n">
        <x:v>162</x:v>
      </x:c>
      <x:c r="F38" s="14" t="str">
        <x:v>The Portfile was created but checksum generation failed.</x:v>
      </x:c>
      <x:c r="G38" s="14" t="str">
        <x:v>Separates the failure from the recovery command.</x:v>
      </x:c>
      <x:c r="H38" s="14" t="str">
        <x:v>Copy only</x:v>
      </x:c>
      <x:c r="I38" s="14" t="str">
        <x:v>High</x:v>
      </x:c>
      <x:c r="J38" s="14" t="str">
        <x:v>Recommended</x:v>
      </x:c>
    </x:row>
    <x:row r="39" ht="54" customHeight="1">
      <x:c r="A39" s="16" t="str">
        <x:v>CLI-034</x:v>
      </x:c>
      <x:c r="B39" s="16" t="str">
        <x:v>  homepage: over HTTPS, as MacPorts prefers; GitHub gives %s
</x:v>
      </x:c>
      <x:c r="C39" s="16" t="str">
        <x:v>  homepage: using HTTPS, as MacPorts recommends (GitHub supplied %s)
</x:v>
      </x:c>
      <x:c r="D39" s="16" t="str">
        <x:v>internal/command/create.go</x:v>
      </x:c>
      <x:c r="E39" s="17" t="n">
        <x:v>171</x:v>
      </x:c>
      <x:c r="F39" s="16" t="str">
        <x:v>The detected homepage URL was changed from HTTP to HTTPS.</x:v>
      </x:c>
      <x:c r="G39" s="16" t="str">
        <x:v>Explains the normalization and source without personifying GitHub.</x:v>
      </x:c>
      <x:c r="H39" s="16" t="str">
        <x:v>Copy only</x:v>
      </x:c>
      <x:c r="I39" s="16" t="str">
        <x:v>Medium</x:v>
      </x:c>
      <x:c r="J39" s="16" t="str">
        <x:v>Recommended</x:v>
      </x:c>
    </x:row>
    <x:row r="40" ht="54" customHeight="1">
      <x:c r="A40" s="14" t="str">
        <x:v>CLI-035</x:v>
      </x:c>
      <x:c r="B40" s="14" t="str">
        <x:v>  Unconfirmed, marked in the file: %s
</x:v>
      </x:c>
      <x:c r="C40" s="14" t="str">
        <x:v>  Review these fields and remove their unconfirmed markers: %s
</x:v>
      </x:c>
      <x:c r="D40" s="14" t="str">
        <x:v>internal/command/create.go</x:v>
      </x:c>
      <x:c r="E40" s="15" t="n">
        <x:v>188</x:v>
      </x:c>
      <x:c r="F40" s="14" t="str">
        <x:v>Generated Portfile contains guesses; submit holds until markers are removed.</x:v>
      </x:c>
      <x:c r="G40" s="14" t="str">
        <x:v>Turns an ambiguous status into the action needed to unblock submission.</x:v>
      </x:c>
      <x:c r="H40" s="14" t="str">
        <x:v>Copy only</x:v>
      </x:c>
      <x:c r="I40" s="14" t="str">
        <x:v>High</x:v>
      </x:c>
      <x:c r="J40" s="14" t="str">
        <x:v>Recommended</x:v>
      </x:c>
    </x:row>
    <x:row r="41" ht="54" customHeight="1">
      <x:c r="A41" s="16" t="str">
        <x:v>CLI-036</x:v>
      </x:c>
      <x:c r="B41" s="16" t="str">
        <x:v>  maintainers: nomaintainer, as your config names none; %s
</x:v>
      </x:c>
      <x:c r="C41" s="16" t="str">
        <x:v>  maintainers: nomaintainer (no maintainer configured). %s
</x:v>
      </x:c>
      <x:c r="D41" s="16" t="str">
        <x:v>internal/command/create.go</x:v>
      </x:c>
      <x:c r="E41" s="17" t="n">
        <x:v>194</x:v>
      </x:c>
      <x:c r="F41" s="16" t="str">
        <x:v>No maintainer is configured; the second argument provides setup guidance.</x:v>
      </x:c>
      <x:c r="G41" s="16" t="str">
        <x:v>Uses familiar configuration language and separates the explanation from advice.</x:v>
      </x:c>
      <x:c r="H41" s="16" t="str">
        <x:v>Copy only</x:v>
      </x:c>
      <x:c r="I41" s="16" t="str">
        <x:v>Medium</x:v>
      </x:c>
      <x:c r="J41" s="16" t="str">
        <x:v>Recommended</x:v>
      </x:c>
    </x:row>
    <x:row r="42" ht="54" customHeight="1">
      <x:c r="A42" s="14" t="str">
        <x:v>CLI-037</x:v>
      </x:c>
      <x:c r="B42" s="14" t="str">
        <x:v>the port's category (default: asked on a terminal, else guessed and marked)</x:v>
      </x:c>
      <x:c r="C42" s="14" t="str">
        <x:v>port category (prompts in a terminal; otherwise uses a marked guess)</x:v>
      </x:c>
      <x:c r="D42" s="14" t="str">
        <x:v>internal/command/create.go</x:v>
      </x:c>
      <x:c r="E42" s="15" t="n">
        <x:v>203</x:v>
      </x:c>
      <x:c r="F42" s="14" t="str">
        <x:v>Help for create --category.</x:v>
      </x:c>
      <x:c r="G42" s="14" t="str">
        <x:v>Makes the interactive and unattended defaults easier to scan.</x:v>
      </x:c>
      <x:c r="H42" s="14" t="str">
        <x:v>Copy only</x:v>
      </x:c>
      <x:c r="I42" s="14" t="str">
        <x:v>Medium</x:v>
      </x:c>
      <x:c r="J42" s="14" t="str">
        <x:v>Recommended</x:v>
      </x:c>
    </x:row>
    <x:row r="43" ht="54" customHeight="1">
      <x:c r="A43" s="16" t="str">
        <x:v>CLI-038</x:v>
      </x:c>
      <x:c r="B43" s="16" t="str">
        <x:v>--message names the one commit --squash makes; add --squash</x:v>
      </x:c>
      <x:c r="C43" s="16" t="str">
        <x:v>--message requires --squash. Add --squash to create a single commit with this message.</x:v>
      </x:c>
      <x:c r="D43" s="16" t="str">
        <x:v>internal/command/review.go</x:v>
      </x:c>
      <x:c r="E43" s="17" t="n">
        <x:v>49</x:v>
      </x:c>
      <x:c r="F43" s="16" t="str">
        <x:v>tidy --message was supplied without --squash.</x:v>
      </x:c>
      <x:c r="G43" s="16" t="str">
        <x:v>Names the dependency before explaining it.</x:v>
      </x:c>
      <x:c r="H43" s="16" t="str">
        <x:v>Copy only</x:v>
      </x:c>
      <x:c r="I43" s="16" t="str">
        <x:v>Medium</x:v>
      </x:c>
      <x:c r="J43" s="16" t="str">
        <x:v>Recommended</x:v>
      </x:c>
    </x:row>
    <x:row r="44" ht="54" customHeight="1">
      <x:c r="A44" s="14" t="str">
        <x:v>CLI-039</x:v>
      </x:c>
      <x:c r="B44" s="14" t="str">
        <x:v>The commits follow MacPorts' rules, and nothing is uncommitted, but for what the rules warn of:</x:v>
      </x:c>
      <x:c r="C44" s="14" t="str">
        <x:v>All changes are committed. The commits pass the required MacPorts checks, with these warnings:</x:v>
      </x:c>
      <x:c r="D44" s="14" t="str">
        <x:v>internal/command/review.go</x:v>
      </x:c>
      <x:c r="E44" s="15" t="n">
        <x:v>81</x:v>
      </x:c>
      <x:c r="F44" s="14" t="str">
        <x:v>tidy would retain the current commits but found nonblocking rule warnings.</x:v>
      </x:c>
      <x:c r="G44" s="14" t="str">
        <x:v>Resolves the confusing qualification and separates warnings from blockers.</x:v>
      </x:c>
      <x:c r="H44" s="14" t="str">
        <x:v>Copy only</x:v>
      </x:c>
      <x:c r="I44" s="14" t="str">
        <x:v>Medium</x:v>
      </x:c>
      <x:c r="J44" s="14" t="str">
        <x:v>Recommended</x:v>
      </x:c>
    </x:row>
    <x:row r="45" ht="54" customHeight="1">
      <x:c r="A45" s="16" t="str">
        <x:v>CLI-040</x:v>
      </x:c>
      <x:c r="B45" s="16" t="str">
        <x:v>Commits in order, joining any to combine with + (such as 2 1+3): </x:v>
      </x:c>
      <x:c r="C45" s="16" t="str">
        <x:v>Enter commit numbers in order; use + to combine them (for example, 2 1+3): </x:v>
      </x:c>
      <x:c r="D45" s="16" t="str">
        <x:v>internal/command/review.go</x:v>
      </x:c>
      <x:c r="E45" s="17" t="n">
        <x:v>174</x:v>
      </x:c>
      <x:c r="F45" s="16" t="str">
        <x:v>Interactive tidy regroup prompt.</x:v>
      </x:c>
      <x:c r="G45" s="16" t="str">
        <x:v>Gives a concrete input instruction and example.</x:v>
      </x:c>
      <x:c r="H45" s="16" t="str">
        <x:v>Copy only</x:v>
      </x:c>
      <x:c r="I45" s="16" t="str">
        <x:v>Medium</x:v>
      </x:c>
      <x:c r="J45" s="16" t="str">
        <x:v>Recommended</x:v>
      </x:c>
    </x:row>
    <x:row r="46" ht="54" customHeight="1">
      <x:c r="A46" s="14" t="str">
        <x:v>CLI-041</x:v>
      </x:c>
      <x:c r="B46" s="14" t="str">
        <x:v>Not yet: %s
</x:v>
      </x:c>
      <x:c r="C46" s="14" t="str">
        <x:v>Can't apply this plan: %s
</x:v>
      </x:c>
      <x:c r="D46" s="14" t="str">
        <x:v>internal/command/review.go</x:v>
      </x:c>
      <x:c r="E46" s="15" t="n">
        <x:v>192</x:v>
      </x:c>
      <x:c r="F46" s="14" t="str">
        <x:v>Interactive tidy apply was blocked by validation findings.</x:v>
      </x:c>
      <x:c r="G46" s="14" t="str">
        <x:v>Identifies which action is blocked instead of replying vaguely.</x:v>
      </x:c>
      <x:c r="H46" s="14" t="str">
        <x:v>Copy only</x:v>
      </x:c>
      <x:c r="I46" s="14" t="str">
        <x:v>Medium</x:v>
      </x:c>
      <x:c r="J46" s="14" t="str">
        <x:v>Recommended</x:v>
      </x:c>
    </x:row>
    <x:row r="47" ht="54" customHeight="1">
      <x:c r="A47" s="16" t="str">
        <x:v>CLI-042</x:v>
      </x:c>
      <x:c r="B47" s="16" t="str">
        <x:v>       a new port create wrote, with your edits since</x:v>
      </x:c>
      <x:c r="C47" s="16" t="str">
        <x:v>       new port from dockhand create, including your later edits</x:v>
      </x:c>
      <x:c r="D47" s="16" t="str">
        <x:v>internal/command/review.go</x:v>
      </x:c>
      <x:c r="E47" s="17" t="n">
        <x:v>248</x:v>
      </x:c>
      <x:c r="F47" s="16" t="str">
        <x:v>A proposed tidy commit contains a generated Portfile and subsequent edits.</x:v>
      </x:c>
      <x:c r="G47" s="16" t="str">
        <x:v>Makes the command name and chronology readable.</x:v>
      </x:c>
      <x:c r="H47" s="16" t="str">
        <x:v>Copy only</x:v>
      </x:c>
      <x:c r="I47" s="16" t="str">
        <x:v>Medium</x:v>
      </x:c>
      <x:c r="J47" s="16" t="str">
        <x:v>Recommended</x:v>
      </x:c>
    </x:row>
    <x:row r="48" ht="54" customHeight="1">
      <x:c r="A48" s="14" t="str">
        <x:v>CLI-043</x:v>
      </x:c>
      <x:c r="B48" s="14" t="str">
        <x:v>Also noticed, for you to fix (tidy never changes files):</x:v>
      </x:c>
      <x:c r="C48" s="14" t="str">
        <x:v>File issues to resolve separately (tidy only changes commits):</x:v>
      </x:c>
      <x:c r="D48" s="14" t="str">
        <x:v>internal/command/review.go</x:v>
      </x:c>
      <x:c r="E48" s="15" t="n">
        <x:v>293</x:v>
      </x:c>
      <x:c r="F48" s="14" t="str">
        <x:v>tidy found Portfile issues that it does not fix.</x:v>
      </x:c>
      <x:c r="G48" s="14" t="str">
        <x:v>Uses a clear heading and explains why a separate edit is needed.</x:v>
      </x:c>
      <x:c r="H48" s="14" t="str">
        <x:v>Copy only</x:v>
      </x:c>
      <x:c r="I48" s="14" t="str">
        <x:v>Medium</x:v>
      </x:c>
      <x:c r="J48" s="14" t="str">
        <x:v>Recommended</x:v>
      </x:c>
    </x:row>
    <x:row r="49" ht="60" customHeight="1">
      <x:c r="A49" s="16" t="str">
        <x:v>CLI-044</x:v>
      </x:c>
      <x:c r="B49" s="16" t="str">
        <x:v>Left %s out of the worktree again, as nothing of the branch's is there.
</x:v>
      </x:c>
      <x:c r="C49" s="16" t="str">
        <x:v>Removed %s from the sparse checkout; the branch has no changes there.
</x:v>
      </x:c>
      <x:c r="D49" s="16" t="str">
        <x:v>internal/command/review.go</x:v>
      </x:c>
      <x:c r="E49" s="17" t="n">
        <x:v>354</x:v>
      </x:c>
      <x:c r="F49" s="16" t="str">
        <x:v>After tidy, paths with no remaining branch changes are removed from the sparse checkout.</x:v>
      </x:c>
      <x:c r="G49" s="16" t="str">
        <x:v>Names the actual operation and its reason.</x:v>
      </x:c>
      <x:c r="H49" s="16" t="str">
        <x:v>Copy only</x:v>
      </x:c>
      <x:c r="I49" s="16" t="str">
        <x:v>Medium</x:v>
      </x:c>
      <x:c r="J49" s="16" t="str">
        <x:v>Recommended</x:v>
      </x:c>
    </x:row>
    <x:row r="50" ht="54" customHeight="1">
      <x:c r="A50" s="14" t="str">
        <x:v>CLI-045</x:v>
      </x:c>
      <x:c r="B50" s="14" t="str">
        <x:v>Say what a reviewer would about a pull request</x:v>
      </x:c>
      <x:c r="C50" s="14" t="str">
        <x:v>Review a pull request against MacPorts' rules</x:v>
      </x:c>
      <x:c r="D50" s="14" t="str">
        <x:v>internal/command/reviewpr.go</x:v>
      </x:c>
      <x:c r="E50" s="15" t="n">
        <x:v>22</x:v>
      </x:c>
      <x:c r="F50" s="14" t="str">
        <x:v>Short help for dockhand review.</x:v>
      </x:c>
      <x:c r="G50" s="14" t="str">
        <x:v>Describes the actual automated review scope instead of imitating a person.</x:v>
      </x:c>
      <x:c r="H50" s="14" t="str">
        <x:v>Copy only</x:v>
      </x:c>
      <x:c r="I50" s="14" t="str">
        <x:v>Medium</x:v>
      </x:c>
      <x:c r="J50" s="14" t="str">
        <x:v>Recommended</x:v>
      </x:c>
    </x:row>
    <x:row r="51" ht="54" customHeight="1">
      <x:c r="A51" s="16" t="str">
        <x:v>CLI-046</x:v>
      </x:c>
      <x:c r="B51" s="16" t="str">
        <x:v>nothing was posted: without a terminal, --comment or --request-changes posts it</x:v>
      </x:c>
      <x:c r="C51" s="16" t="str">
        <x:v>No review was posted. In a script, use --comment or --request-changes to post it.</x:v>
      </x:c>
      <x:c r="D51" s="16" t="str">
        <x:v>internal/command/reviewpr.go</x:v>
      </x:c>
      <x:c r="E51" s="17" t="n">
        <x:v>63</x:v>
      </x:c>
      <x:c r="F51" s="16" t="str">
        <x:v>review ran without a terminal and no explicit posting flag.</x:v>
      </x:c>
      <x:c r="G51" s="16" t="str">
        <x:v>Separates the outcome from the flag needed to post.</x:v>
      </x:c>
      <x:c r="H51" s="16" t="str">
        <x:v>Copy only</x:v>
      </x:c>
      <x:c r="I51" s="16" t="str">
        <x:v>Medium</x:v>
      </x:c>
      <x:c r="J51" s="16" t="str">
        <x:v>Recommended</x:v>
      </x:c>
    </x:row>
    <x:row r="52" ht="60" customHeight="1">
      <x:c r="A52" s="14" t="str">
        <x:v>CLI-047</x:v>
      </x:c>
      <x:c r="B52" s="14" t="str">
        <x:v>Requesting changes is left to people with write or triage access; you have %s.
</x:v>
      </x:c>
      <x:c r="C52" s="14" t="str">
        <x:v>Requesting changes requires write or triage access; your access is %s.
</x:v>
      </x:c>
      <x:c r="D52" s="14" t="str">
        <x:v>internal/command/reviewpr.go</x:v>
      </x:c>
      <x:c r="E52" s="15" t="n">
        <x:v>79</x:v>
      </x:c>
      <x:c r="F52" s="14" t="str">
        <x:v>The current account cannot request changes under Dockhand’s access policy.</x:v>
      </x:c>
      <x:c r="G52" s="14" t="str">
        <x:v>States the permission requirement directly.</x:v>
      </x:c>
      <x:c r="H52" s="14" t="str">
        <x:v>Copy only</x:v>
      </x:c>
      <x:c r="I52" s="14" t="str">
        <x:v>Medium</x:v>
      </x:c>
      <x:c r="J52" s="14" t="str">
        <x:v>Recommended</x:v>
      </x:c>
    </x:row>
    <x:row r="53" ht="54" customHeight="1">
      <x:c r="A53" s="16" t="str">
        <x:v>CLI-048</x:v>
      </x:c>
      <x:c r="B53" s="16" t="str">
        <x:v>  Upstream, against MacPorts' ports at the pull request's %s, off master at %s:</x:v>
      </x:c>
      <x:c r="C53" s="16" t="str">
        <x:v>  Upstream comparison using ports at pull request commit %s (based on master %s):</x:v>
      </x:c>
      <x:c r="D53" s="16" t="str">
        <x:v>internal/command/reviewpr.go</x:v>
      </x:c>
      <x:c r="E53" s="17" t="n">
        <x:v>150</x:v>
      </x:c>
      <x:c r="F53" s="16" t="str">
        <x:v>The upstream comparison uses ports as they existed in the reviewed pull request.</x:v>
      </x:c>
      <x:c r="G53" s="16" t="str">
        <x:v>Identifies both commits without nested possessives.</x:v>
      </x:c>
      <x:c r="H53" s="16" t="str">
        <x:v>Copy only</x:v>
      </x:c>
      <x:c r="I53" s="16" t="str">
        <x:v>Medium</x:v>
      </x:c>
      <x:c r="J53" s="16" t="str">
        <x:v>Recommended</x:v>
      </x:c>
    </x:row>
    <x:row r="54" ht="75" customHeight="1">
      <x:c r="A54" s="14" t="str">
        <x:v>CLI-049</x:v>
      </x:c>
      <x:c r="B54" s="14" t="str">
        <x:v>Experimental: dockhand evaluates #%d's Portfiles, %s, with MacPorts on this Mac, as it does your own, so read them first where you don't trust their code; running another person's Portfile apart from you is still to come.</x:v>
      </x:c>
      <x:c r="C54" s="14" t="str">
        <x:v>Experimental: this command evaluates pull request #%d using %s Portfiles with MacPorts on this Mac. Read any Portfiles you do not trust before running it; isolated evaluation is not yet available.</x:v>
      </x:c>
      <x:c r="D54" s="14" t="str">
        <x:v>internal/command/reviewpr.go</x:v>
      </x:c>
      <x:c r="E54" s="15" t="n">
        <x:v>173</x:v>
      </x:c>
      <x:c r="F54" s="14" t="str">
        <x:v>Shared warning for review and adopt --pr; evaluation currently runs on the user’s Mac.</x:v>
      </x:c>
      <x:c r="G54" s="14" t="str">
        <x:v>Makes execution of someone else’s code and lack of isolation understandable.</x:v>
      </x:c>
      <x:c r="H54" s="14" t="str">
        <x:v>Copy change preserves arguments. The notice currently appears after evaluation; showing it before evaluation would require a separate control-flow change.</x:v>
      </x:c>
      <x:c r="I54" s="14" t="str">
        <x:v>High</x:v>
      </x:c>
      <x:c r="J54" s="14" t="str">
        <x:v>Recommended</x:v>
      </x:c>
    </x:row>
    <x:row r="55" ht="54" customHeight="1">
      <x:c r="A55" s="16" t="str">
        <x:v>CLI-050</x:v>
      </x:c>
      <x:c r="B55" s="16" t="str">
        <x:v>
Description, as the pull request would have it:</x:v>
      </x:c>
      <x:c r="C55" s="16" t="str">
        <x:v>
Proposed pull request description:</x:v>
      </x:c>
      <x:c r="D55" s="16" t="str">
        <x:v>internal/command/submit.go</x:v>
      </x:c>
      <x:c r="E55" s="17" t="n">
        <x:v>191</x:v>
      </x:c>
      <x:c r="F55" s="16" t="str">
        <x:v>Heading above a submission preview.</x:v>
      </x:c>
      <x:c r="G55" s="16" t="str">
        <x:v>Replaces an indirect heading with a familiar preview label.</x:v>
      </x:c>
      <x:c r="H55" s="16" t="str">
        <x:v>Copy only</x:v>
      </x:c>
      <x:c r="I55" s="16" t="str">
        <x:v>Medium</x:v>
      </x:c>
      <x:c r="J55" s="16" t="str">
        <x:v>Recommended</x:v>
      </x:c>
    </x:row>
    <x:row r="56" ht="60" customHeight="1">
      <x:c r="A56" s="14" t="str">
        <x:v>CLI-051</x:v>
      </x:c>
      <x:c r="B56" s="14" t="str">
        <x:v>           ! %s is %s's, and this pushes and writes the pull request as %s
</x:v>
      </x:c>
      <x:c r="C56" s="14" t="str">
        <x:v>           ! %s belongs to %s; you will push and create or update the pull request as %s
</x:v>
      </x:c>
      <x:c r="D56" s="14" t="str">
        <x:v>internal/command/submit.go</x:v>
      </x:c>
      <x:c r="E56" s="15" t="n">
        <x:v>313</x:v>
      </x:c>
      <x:c r="F56" s="14" t="str">
        <x:v>The chosen fork belongs to someone other than the authenticated publishing account.</x:v>
      </x:c>
      <x:c r="G56" s="14" t="str">
        <x:v>Makes fork ownership and the publishing account explicit for both new and existing pull requests.</x:v>
      </x:c>
      <x:c r="H56" s="14" t="str">
        <x:v>Copy only</x:v>
      </x:c>
      <x:c r="I56" s="14" t="str">
        <x:v>High</x:v>
      </x:c>
      <x:c r="J56" s="14" t="str">
        <x:v>Recommended</x:v>
      </x:c>
    </x:row>
    <x:row r="57" ht="54" customHeight="1">
      <x:c r="A57" s="16" t="str">
        <x:v>CLI-052</x:v>
      </x:c>
      <x:c r="B57" s="16" t="str">
        <x:v>  Note     none, and the commit has no body, so the Description says nothing of the change: --note "…" adds one</x:v>
      </x:c>
      <x:c r="C57" s="16" t="str">
        <x:v>  Note     missing; the commit has no body, so the description does not explain the change. Add --note "…".</x:v>
      </x:c>
      <x:c r="D57" s="16" t="str">
        <x:v>internal/command/submit.go</x:v>
      </x:c>
      <x:c r="E57" s="17" t="n">
        <x:v>341</x:v>
      </x:c>
      <x:c r="F57" s="16" t="str">
        <x:v>There is no note or commit body to explain the proposed pull request.</x:v>
      </x:c>
      <x:c r="G57" s="16" t="str">
        <x:v>Identifies the missing explanation and provides the corrective flag.</x:v>
      </x:c>
      <x:c r="H57" s="16" t="str">
        <x:v>Copy only</x:v>
      </x:c>
      <x:c r="I57" s="16" t="str">
        <x:v>Medium</x:v>
      </x:c>
      <x:c r="J57" s="16" t="str">
        <x:v>Recommended</x:v>
      </x:c>
    </x:row>
    <x:row r="58" ht="75" customHeight="1">
      <x:c r="A58" s="14" t="str">
        <x:v>CLI-053</x:v>
      </x:c>
      <x:c r="B58" s="14" t="str">
        <x:v>  ! commit %s's Generated-By names a dockhand built from uncommitted source, which nobody else can find; tidy it again with a build of a pushed commit
</x:v>
      </x:c>
      <x:c r="C58" s="14" t="str">
        <x:v>  ! commit %s names a Dockhand build from uncommitted source in Generated-By. Run tidy again using a build from a pushed commit so others can identify the source.
</x:v>
      </x:c>
      <x:c r="D58" s="14" t="str">
        <x:v>internal/command/submit.go</x:v>
      </x:c>
      <x:c r="E58" s="15" t="n">
        <x:v>350</x:v>
      </x:c>
      <x:c r="F58" s="14" t="str">
        <x:v>A commit records a Dockhand build whose exact source is unavailable to others.</x:v>
      </x:c>
      <x:c r="G58" s="14" t="str">
        <x:v>Explains the reproducibility issue and the recovery action.</x:v>
      </x:c>
      <x:c r="H58" s="14" t="str">
        <x:v>Copy only</x:v>
      </x:c>
      <x:c r="I58" s="14" t="str">
        <x:v>High</x:v>
      </x:c>
      <x:c r="J58" s="14" t="str">
        <x:v>Recommended</x:v>
      </x:c>
    </x:row>
    <x:row r="59" ht="60" customHeight="1">
      <x:c r="A59" s="16" t="str">
        <x:v>CLI-054</x:v>
      </x:c>
      <x:c r="B59" s="16" t="str">
        <x:v>  ! couldn't ask GitHub whether it has the dockhand builds the commits name in Generated-By: %s
</x:v>
      </x:c>
      <x:c r="C59" s="16" t="str">
        <x:v>  ! Could not verify the Dockhand builds listed in Generated-By on GitHub: %s
</x:v>
      </x:c>
      <x:c r="D59" s="16" t="str">
        <x:v>internal/command/submit.go</x:v>
      </x:c>
      <x:c r="E59" s="17" t="n">
        <x:v>356</x:v>
      </x:c>
      <x:c r="F59" s="16" t="str">
        <x:v>GitHub lookup for generated-by build references failed.</x:v>
      </x:c>
      <x:c r="G59" s="16" t="str">
        <x:v>Names the failed verification without nested relative clauses.</x:v>
      </x:c>
      <x:c r="H59" s="16" t="str">
        <x:v>Copy only</x:v>
      </x:c>
      <x:c r="I59" s="16" t="str">
        <x:v>Medium</x:v>
      </x:c>
      <x:c r="J59" s="16" t="str">
        <x:v>Recommended</x:v>
      </x:c>
    </x:row>
    <x:row r="60" ht="60" customHeight="1">
      <x:c r="A60" s="14" t="str">
        <x:v>CLI-055</x:v>
      </x:c>
      <x:c r="B60" s="14" t="str">
        <x:v>
           ! not in the description: its Description is yours, edited on GitHub or taken out, and stays as it is</x:v>
      </x:c>
      <x:c r="C60" s="14" t="str">
        <x:v>
           ! note omitted: the description was edited or removed on GitHub, so Dockhand preserves it</x:v>
      </x:c>
      <x:c r="D60" s="14" t="str">
        <x:v>internal/command/submit.go</x:v>
      </x:c>
      <x:c r="E60" s="15" t="n">
        <x:v>380</x:v>
      </x:c>
      <x:c r="F60" s="14" t="str">
        <x:v>A saved note cannot be inserted because the user owns the edited description.</x:v>
      </x:c>
      <x:c r="G60" s="14" t="str">
        <x:v>Clarifies what was omitted and why the existing description stays.</x:v>
      </x:c>
      <x:c r="H60" s="14" t="str">
        <x:v>Copy only</x:v>
      </x:c>
      <x:c r="I60" s="14" t="str">
        <x:v>Medium</x:v>
      </x:c>
      <x:c r="J60" s="14" t="str">
        <x:v>Recommended</x:v>
      </x:c>
    </x:row>
    <x:row r="61" ht="60" customHeight="1">
      <x:c r="A61" s="16" t="str">
        <x:v>CLI-056</x:v>
      </x:c>
      <x:c r="B61" s="16" t="str">
        <x:v>Updated #%d: replaced its history with %s (the fork's branch was where submit saw it)
</x:v>
      </x:c>
      <x:c r="C61" s="16" t="str">
        <x:v>Updated #%d: replaced its history with %s (confirmed the remote branch had not changed).
</x:v>
      </x:c>
      <x:c r="D61" s="16" t="str">
        <x:v>internal/command/submit.go</x:v>
      </x:c>
      <x:c r="E61" s="17" t="n">
        <x:v>636</x:v>
      </x:c>
      <x:c r="F61" s="16" t="str">
        <x:v>Submission rewrote history after a successful remote-head check.</x:v>
      </x:c>
      <x:c r="G61" s="16" t="str">
        <x:v>Explains the concurrency safeguard in recognizable Git terms.</x:v>
      </x:c>
      <x:c r="H61" s="16" t="str">
        <x:v>Copy only</x:v>
      </x:c>
      <x:c r="I61" s="16" t="str">
        <x:v>Medium</x:v>
      </x:c>
      <x:c r="J61" s="16" t="str">
        <x:v>Recommended</x:v>
      </x:c>
    </x:row>
    <x:row r="62" ht="54" customHeight="1">
      <x:c r="A62" s="14" t="str">
        <x:v>CLI-057</x:v>
      </x:c>
      <x:c r="B62" s="14" t="str">
        <x:v>set $EDITOR to edit the description here, or edit it on GitHub after submitting; dockhand keeps your edits</x:v>
      </x:c>
      <x:c r="C62" s="14" t="str">
        <x:v>Set $VISUAL or $EDITOR to edit the description here, or edit it on GitHub after submitting. Dockhand preserves your edits.</x:v>
      </x:c>
      <x:c r="D62" s="14" t="str">
        <x:v>internal/command/submit.go</x:v>
      </x:c>
      <x:c r="E62" s="15" t="n">
        <x:v>677</x:v>
      </x:c>
      <x:c r="F62" s="14" t="str">
        <x:v>No editor is configured; editText is used by submission and review.</x:v>
      </x:c>
      <x:c r="G62" s="14" t="str">
        <x:v>Names both supported editor variables and splits the recovery choices.</x:v>
      </x:c>
      <x:c r="H62" s="14" t="str">
        <x:v>Copy only</x:v>
      </x:c>
      <x:c r="I62" s="14" t="str">
        <x:v>Medium</x:v>
      </x:c>
      <x:c r="J62" s="14" t="str">
        <x:v>Recommended</x:v>
      </x:c>
    </x:row>
    <x:row r="63" ht="60" customHeight="1">
      <x:c r="A63" s="16" t="str">
        <x:v>CLI-058</x:v>
      </x:c>
      <x:c r="B63" s="16" t="str">
        <x:v>%s · %s corresponds to none of %s archives by name, so it wasn't compared
</x:v>
      </x:c>
      <x:c r="C63" s="16" t="str">
        <x:v>%s · %s was not compared: no matching archive name in %s archives
</x:v>
      </x:c>
      <x:c r="D63" s="16" t="str">
        <x:v>internal/command/understand.go</x:v>
      </x:c>
      <x:c r="E63" s="17" t="n">
        <x:v>118</x:v>
      </x:c>
      <x:c r="F63" s="16" t="str">
        <x:v>A source archive cannot be paired unambiguously with one on the other side.</x:v>
      </x:c>
      <x:c r="G63" s="16" t="str">
        <x:v>Leads with the skipped comparison and its concrete reason.</x:v>
      </x:c>
      <x:c r="H63" s="16" t="str">
        <x:v>Copy only</x:v>
      </x:c>
      <x:c r="I63" s="16" t="str">
        <x:v>Medium</x:v>
      </x:c>
      <x:c r="J63" s="16" t="str">
        <x:v>Recommended</x:v>
      </x:c>
    </x:row>
    <x:row r="64" ht="60" customHeight="1">
      <x:c r="A64" s="14" t="str">
        <x:v>CLI-059</x:v>
      </x:c>
      <x:c r="B64" s="14" t="str">
        <x:v>  the old %s is MacPorts' mirror's copy: upstream now serves other contents under its name
</x:v>
      </x:c>
      <x:c r="C64" s="14" t="str">
        <x:v>  Using the MacPorts mirror copy of %s; upstream now serves different contents under the same name.
</x:v>
      </x:c>
      <x:c r="D64" s="14" t="str">
        <x:v>internal/command/understand.go</x:v>
      </x:c>
      <x:c r="E64" s="15" t="n">
        <x:v>150</x:v>
      </x:c>
      <x:c r="F64" s="14" t="str">
        <x:v>The old source archive came from the mirror because upstream changed it without renaming it.</x:v>
      </x:c>
      <x:c r="G64" s="14" t="str">
        <x:v>Explains provenance and the stealth update in plain language.</x:v>
      </x:c>
      <x:c r="H64" s="14" t="str">
        <x:v>Copy only</x:v>
      </x:c>
      <x:c r="I64" s="14" t="str">
        <x:v>Medium</x:v>
      </x:c>
      <x:c r="J64" s="14" t="str">
        <x:v>Recommended</x:v>
      </x:c>
    </x:row>
    <x:row r="65" ht="54" customHeight="1">
      <x:c r="A65" s="16" t="str">
        <x:v>CLI-060</x:v>
      </x:c>
      <x:c r="B65" s="16" t="str">
        <x:v>start needs a name, or a --port to name the branch for</x:v>
      </x:c>
      <x:c r="C65" s="16" t="str">
        <x:v>start needs a branch name or --port &lt;port&gt; to generate one.</x:v>
      </x:c>
      <x:c r="D65" s="16" t="str">
        <x:v>internal/command/work.go</x:v>
      </x:c>
      <x:c r="E65" s="17" t="n">
        <x:v>190</x:v>
      </x:c>
      <x:c r="F65" s="16" t="str">
        <x:v>start called without a name or port.</x:v>
      </x:c>
      <x:c r="G65" s="16" t="str">
        <x:v>States valid syntax and explains the generated-name option.</x:v>
      </x:c>
      <x:c r="H65" s="16" t="str">
        <x:v>Copy only</x:v>
      </x:c>
      <x:c r="I65" s="16" t="str">
        <x:v>Medium</x:v>
      </x:c>
      <x:c r="J65" s="16" t="str">
        <x:v>Recommended</x:v>
      </x:c>
    </x:row>
    <x:row r="66" ht="54" customHeight="1">
      <x:c r="A66" s="14" t="str">
        <x:v>CLI-061</x:v>
      </x:c>
      <x:c r="B66" s="14" t="str">
        <x:v>? %s is archived; rename it aside so this branch can take its name? [y/N] </x:v>
      </x:c>
      <x:c r="C66" s="14" t="str">
        <x:v>? %s is archived. Rename the archived branch to free this name? [y/N] </x:v>
      </x:c>
      <x:c r="D66" s="14" t="str">
        <x:v>internal/command/work.go</x:v>
      </x:c>
      <x:c r="E66" s="15" t="n">
        <x:v>207</x:v>
      </x:c>
      <x:c r="F66" s="14" t="str">
        <x:v>A new branch conflicts with an archived branch name.</x:v>
      </x:c>
      <x:c r="G66" s="14" t="str">
        <x:v>Makes the object being renamed explicit before confirmation.</x:v>
      </x:c>
      <x:c r="H66" s="14" t="str">
        <x:v>Copy only</x:v>
      </x:c>
      <x:c r="I66" s="14" t="str">
        <x:v>High</x:v>
      </x:c>
      <x:c r="J66" s="14" t="str">
        <x:v>Recommended</x:v>
      </x:c>
    </x:row>
    <x:row r="67" ht="60" customHeight="1">
      <x:c r="A67" s="16" t="str">
        <x:v>CLI-062</x:v>
      </x:c>
      <x:c r="B67" s="16" t="str">
        <x:v>Recognized %s as %s, renamed with Git: its record, checks, and history carry over.
</x:v>
      </x:c>
      <x:c r="C67" s="16" t="str">
        <x:v>Recognized %s as a Git rename of %s; retained its record, checks, and history.
</x:v>
      </x:c>
      <x:c r="D67" s="16" t="str">
        <x:v>internal/command/work.go</x:v>
      </x:c>
      <x:c r="E67" s="17" t="n">
        <x:v>286</x:v>
      </x:c>
      <x:c r="F67" s="16" t="str">
        <x:v>adopt detects that an existing tracked branch was renamed with Git.</x:v>
      </x:c>
      <x:c r="G67" s="16" t="str">
        <x:v>Clarifies which name is current and which is the prior tracked name.</x:v>
      </x:c>
      <x:c r="H67" s="16" t="str">
        <x:v>Copy only</x:v>
      </x:c>
      <x:c r="I67" s="16" t="str">
        <x:v>Medium</x:v>
      </x:c>
      <x:c r="J67" s="16" t="str">
        <x:v>Recommended</x:v>
      </x:c>
    </x:row>
    <x:row r="68" ht="60" customHeight="1">
      <x:c r="A68" s="14" t="str">
        <x:v>CLI-063</x:v>
      </x:c>
      <x:c r="B68" s="14" t="str">
        <x:v>#%d's head can't move, so submit keeps pushing to %s.
</x:v>
      </x:c>
      <x:c r="C68" s="14" t="str">
        <x:v>Pull request #%d keeps its original source branch; submit will continue pushing to %s.
</x:v>
      </x:c>
      <x:c r="D68" s="14" t="str">
        <x:v>internal/command/work.go</x:v>
      </x:c>
      <x:c r="E68" s="15" t="n">
        <x:v>288</x:v>
      </x:c>
      <x:c r="F68" s="14" t="str">
        <x:v>Renaming a local branch cannot change the source branch of its existing pull request.</x:v>
      </x:c>
      <x:c r="G68" s="14" t="str">
        <x:v>Explains the GitHub limitation using source branch instead of the ambiguous head.</x:v>
      </x:c>
      <x:c r="H68" s="14" t="str">
        <x:v>Copy only</x:v>
      </x:c>
      <x:c r="I68" s="14" t="str">
        <x:v>Medium</x:v>
      </x:c>
      <x:c r="J68" s="14" t="str">
        <x:v>Recommended</x:v>
      </x:c>
    </x:row>
    <x:row r="69" ht="60" customHeight="1">
      <x:c r="A69" s="16" t="str">
        <x:v>CLI-064</x:v>
      </x:c>
      <x:c r="B69" s="16" t="str">
        <x:v>It wasn't checked out anywhere; it is now, in %s, as dockhand start checks a branch out.
</x:v>
      </x:c>
      <x:c r="C69" s="16" t="str">
        <x:v>Created a worktree for this branch at %s.
</x:v>
      </x:c>
      <x:c r="D69" s="16" t="str">
        <x:v>internal/command/work.go</x:v>
      </x:c>
      <x:c r="E69" s="17" t="n">
        <x:v>306</x:v>
      </x:c>
      <x:c r="F69" s="16" t="str">
        <x:v>adopt placed a previously unchecked-out branch in a managed worktree.</x:v>
      </x:c>
      <x:c r="G69" s="16" t="str">
        <x:v>Removes a circular comparison to start and states the result directly.</x:v>
      </x:c>
      <x:c r="H69" s="16" t="str">
        <x:v>Copy only</x:v>
      </x:c>
      <x:c r="I69" s="16" t="str">
        <x:v>Medium</x:v>
      </x:c>
      <x:c r="J69" s="16" t="str">
        <x:v>Recommended</x:v>
      </x:c>
    </x:row>
    <x:row r="70" ht="54" customHeight="1">
      <x:c r="A70" s="14" t="str">
        <x:v>CLI-065</x:v>
      </x:c>
      <x:c r="B70" s="14" t="str">
        <x:v>It's checked out in %s, which is recorded as its worktree.
</x:v>
      </x:c>
      <x:c r="C70" s="14" t="str">
        <x:v>Recorded the existing worktree at %s.
</x:v>
      </x:c>
      <x:c r="D70" s="14" t="str">
        <x:v>internal/command/work.go</x:v>
      </x:c>
      <x:c r="E70" s="15" t="n">
        <x:v>308</x:v>
      </x:c>
      <x:c r="F70" s="14" t="str">
        <x:v>adopt found an existing checkout and saved its location.</x:v>
      </x:c>
      <x:c r="G70" s="14" t="str">
        <x:v>Reports the useful state change without an unclear pronoun.</x:v>
      </x:c>
      <x:c r="H70" s="14" t="str">
        <x:v>Copy only</x:v>
      </x:c>
      <x:c r="I70" s="14" t="str">
        <x:v>Medium</x:v>
      </x:c>
      <x:c r="J70" s="14" t="str">
        <x:v>Recommended</x:v>
      </x:c>
    </x:row>
    <x:row r="71" ht="54" customHeight="1">
      <x:c r="A71" s="16" t="str">
        <x:v>CLI-066</x:v>
      </x:c>
      <x:c r="B71" s="16" t="str">
        <x:v>name the branch once: as the argument, or with -b, -p, or --pr</x:v>
      </x:c>
      <x:c r="C71" s="16" t="str">
        <x:v>Choose the branch with either an argument or one of -b, -p, or --pr.</x:v>
      </x:c>
      <x:c r="D71" s="16" t="str">
        <x:v>internal/command/work.go</x:v>
      </x:c>
      <x:c r="E71" s="17" t="n">
        <x:v>354</x:v>
      </x:c>
      <x:c r="F71" s="16" t="str">
        <x:v>path received both a positional branch and a selection flag.</x:v>
      </x:c>
      <x:c r="G71" s="16" t="str">
        <x:v>States the valid combinations without sounding corrective.</x:v>
      </x:c>
      <x:c r="H71" s="16" t="str">
        <x:v>Copy only</x:v>
      </x:c>
      <x:c r="I71" s="16" t="str">
        <x:v>Medium</x:v>
      </x:c>
      <x:c r="J71" s="16" t="str">
        <x:v>Recommended</x:v>
      </x:c>
    </x:row>
  </x:sheetData>
  <x:conditionalFormatting sqref="I6:I71">
    <x:cfRule type="containsText" dxfId="0" priority="1" operator="containsText" text="High"/>
  </x:conditionalFormatting>
  <x:conditionalFormatting sqref="J6:J71">
    <x:cfRule type="containsText" dxfId="1" priority="2" operator="containsText" text="Alternative"/>
  </x:conditionalFormatting>
  <x:pageMargins left="0.7" right="0.7" top="0.75" bottom="0.75" header="0.3" footer="0.3"/>
  <x:tableParts count="1">
    <x:tablePart xmlns:r="http://schemas.openxmlformats.org/officeDocument/2006/relationships" r:id="Rb3aaadf4ef694f74"/>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1" hidden="0" customWidth="1"/>
    <x:col min="2" max="2" width="72" hidden="0" customWidth="1"/>
    <x:col min="3" max="3" width="72" hidden="0" customWidth="1"/>
    <x:col min="4" max="4" width="49" hidden="0" customWidth="1"/>
    <x:col min="5" max="5" width="8" hidden="0" customWidth="1"/>
    <x:col min="6" max="6" width="51" hidden="0" customWidth="1"/>
    <x:col min="7" max="7" width="51" hidden="0" customWidth="1"/>
    <x:col min="8" max="8" width="57" hidden="0" customWidth="1"/>
    <x:col min="9" max="9" width="12" hidden="0" customWidth="1"/>
    <x:col min="10" max="10" width="18" hidden="0" customWidth="1"/>
  </x:cols>
  <x:sheetData>
    <x:row r="1">
      <x:c r="A1" s="1"/>
      <x:c r="B1" s="1"/>
      <x:c r="C1" s="1"/>
      <x:c r="D1" s="1"/>
      <x:c r="E1" s="1"/>
      <x:c r="F1" s="1"/>
      <x:c r="G1" s="1"/>
      <x:c r="H1" s="1"/>
      <x:c r="I1" s="1"/>
      <x:c r="J1" s="1"/>
    </x:row>
    <x:row r="2" ht="30" customHeight="1">
      <x:c r="A2" s="1"/>
      <x:c r="B2" s="2" t="str">
        <x:v>Workflow &amp; status</x:v>
      </x:c>
      <x:c r="C2" s="1"/>
      <x:c r="D2" s="1"/>
      <x:c r="E2" s="1"/>
      <x:c r="F2" s="1"/>
      <x:c r="G2" s="1"/>
      <x:c r="H2" s="1"/>
      <x:c r="I2" s="1"/>
      <x:c r="J2" s="1"/>
    </x:row>
    <x:row r="3">
      <x:c r="A3" s="3"/>
      <x:c r="B3" s="11" t="str">
        <x:v>72 proposals. Source files are relative to ~/Source/dockhand2.</x:v>
      </x:c>
      <x:c r="C3" s="3"/>
      <x:c r="D3" s="3"/>
      <x:c r="E3" s="3"/>
      <x:c r="F3" s="3"/>
      <x:c r="G3" s="3"/>
      <x:c r="H3" s="3"/>
      <x:c r="I3" s="3"/>
      <x:c r="J3" s="3"/>
    </x:row>
    <x:row r="4">
      <x:c r="A4" s="1"/>
      <x:c r="B4" s="1"/>
      <x:c r="C4" s="1"/>
      <x:c r="D4" s="1"/>
      <x:c r="E4" s="1"/>
      <x:c r="F4" s="1"/>
      <x:c r="G4" s="1"/>
      <x:c r="H4" s="1"/>
      <x:c r="I4" s="1"/>
      <x:c r="J4" s="1"/>
    </x:row>
    <x:row r="5" ht="30" customHeight="1">
      <x:c r="A5" s="12" t="str">
        <x:v>ID</x:v>
      </x:c>
      <x:c r="B5" s="12" t="str">
        <x:v>Current message</x:v>
      </x:c>
      <x:c r="C5" s="12" t="str">
        <x:v>Proposed message</x:v>
      </x:c>
      <x:c r="D5" s="12" t="str">
        <x:v>File</x:v>
      </x:c>
      <x:c r="E5" s="12" t="str">
        <x:v>Line</x:v>
      </x:c>
      <x:c r="F5" s="12" t="str">
        <x:v>Context</x:v>
      </x:c>
      <x:c r="G5" s="12" t="str">
        <x:v>Why change it</x:v>
      </x:c>
      <x:c r="H5" s="12" t="str">
        <x:v>Implementation notes</x:v>
      </x:c>
      <x:c r="I5" s="12" t="str">
        <x:v>Priority</x:v>
      </x:c>
      <x:c r="J5" s="12" t="str">
        <x:v>Proposal</x:v>
      </x:c>
    </x:row>
    <x:row r="6" ht="54" customHeight="1">
      <x:c r="A6" s="14" t="str">
        <x:v>WF-001</x:v>
      </x:c>
      <x:c r="B6" s="14" t="str">
        <x:v>GitHub's device flow named %q to authorize at, which isn't an https address; nothing was opened</x:v>
      </x:c>
      <x:c r="C6" s="14" t="str">
        <x:v>GitHub returned an invalid authorization URL, %q; an HTTPS URL is required, so the browser was not opened</x:v>
      </x:c>
      <x:c r="D6" s="14" t="str">
        <x:v>internal/command/auth.go</x:v>
      </x:c>
      <x:c r="E6" s="15" t="n">
        <x:v>50</x:v>
      </x:c>
      <x:c r="F6" s="14" t="str">
        <x:v>Device authorization URL fails HTTPS validation.</x:v>
      </x:c>
      <x:c r="G6" s="14" t="str">
        <x:v>States the invalid value and validation requirement directly.</x:v>
      </x:c>
      <x:c r="H6" s="14" t="str">
        <x:v>Copy only</x:v>
      </x:c>
      <x:c r="I6" s="14" t="str">
        <x:v>High</x:v>
      </x:c>
      <x:c r="J6" s="14" t="str">
        <x:v>Recommended</x:v>
      </x:c>
    </x:row>
    <x:row r="7" ht="54" customHeight="1">
      <x:c r="A7" s="16" t="str">
        <x:v>WF-002</x:v>
      </x:c>
      <x:c r="B7" s="16" t="str">
        <x:v>opening the browser: %w; run dockhand setup github --no-browser and open the address yourself</x:v>
      </x:c>
      <x:c r="C7" s="16" t="str">
        <x:v>could not open the browser: %w; run dockhand setup github --no-browser to sign in using a URL you open manually</x:v>
      </x:c>
      <x:c r="D7" s="16" t="str">
        <x:v>internal/command/auth.go</x:v>
      </x:c>
      <x:c r="E7" s="17" t="n">
        <x:v>59</x:v>
      </x:c>
      <x:c r="F7" s="16" t="str">
        <x:v>Opening GitHub authorization URL failed.</x:v>
      </x:c>
      <x:c r="G7" s="16" t="str">
        <x:v>Provides a direct recovery instruction.</x:v>
      </x:c>
      <x:c r="H7" s="16" t="str">
        <x:v>Copy only</x:v>
      </x:c>
      <x:c r="I7" s="16" t="str">
        <x:v>Medium</x:v>
      </x:c>
      <x:c r="J7" s="16" t="str">
        <x:v>Recommended</x:v>
      </x:c>
    </x:row>
    <x:row r="8" ht="75" customHeight="1">
      <x:c r="A8" s="14" t="str">
        <x:v>WF-003</x:v>
      </x:c>
      <x:c r="B8" s="14" t="str">
        <x:v>Logged in to github.com as %s, kept in the macOS Keychain. It renews itself while dockhand is used at least once every six months.
</x:v>
      </x:c>
      <x:c r="C8" s="14" t="str">
        <x:v>Logged in to github.com as %s. Credentials are saved in the macOS Keychain and renew automatically if you use dockhand at least once every six months.
</x:v>
      </x:c>
      <x:c r="D8" s="14" t="str">
        <x:v>internal/command/auth.go</x:v>
      </x:c>
      <x:c r="E8" s="15" t="n">
        <x:v>74</x:v>
      </x:c>
      <x:c r="F8" s="14" t="str">
        <x:v>GitHub OAuth login succeeded and was saved.</x:v>
      </x:c>
      <x:c r="G8" s="14" t="str">
        <x:v>Clarifies what is saved and what renews.</x:v>
      </x:c>
      <x:c r="H8" s="14" t="str">
        <x:v>Copy only</x:v>
      </x:c>
      <x:c r="I8" s="14" t="str">
        <x:v>Medium</x:v>
      </x:c>
      <x:c r="J8" s="14" t="str">
        <x:v>Recommended</x:v>
      </x:c>
    </x:row>
    <x:row r="9" ht="60" customHeight="1">
      <x:c r="A9" s="16" t="str">
        <x:v>WF-004</x:v>
      </x:c>
      <x:c r="B9" s="16" t="str">
        <x:v>%s is set and takes precedence over this login; unset it to use the Keychain's.
</x:v>
      </x:c>
      <x:c r="C9" s="16" t="str">
        <x:v>%s is set and overrides this login. Unset it to use the credentials saved in the Keychain.
</x:v>
      </x:c>
      <x:c r="D9" s="16" t="str">
        <x:v>internal/command/auth.go</x:v>
      </x:c>
      <x:c r="E9" s="17" t="n">
        <x:v>76</x:v>
      </x:c>
      <x:c r="F9" s="16" t="str">
        <x:v>An environment token overrides the newly saved login.</x:v>
      </x:c>
      <x:c r="G9" s="16" t="str">
        <x:v>Makes the active credential source clear.</x:v>
      </x:c>
      <x:c r="H9" s="16" t="str">
        <x:v>Copy only</x:v>
      </x:c>
      <x:c r="I9" s="16" t="str">
        <x:v>High</x:v>
      </x:c>
      <x:c r="J9" s="16" t="str">
        <x:v>Recommended</x:v>
      </x:c>
    </x:row>
    <x:row r="10" ht="54" customHeight="1">
      <x:c r="A10" s="14" t="str">
        <x:v>WF-005</x:v>
      </x:c>
      <x:c r="B10" s="14" t="str">
        <x:v>dockhand keeps no GitHub login in the Keychain.</x:v>
      </x:c>
      <x:c r="C10" s="14" t="str">
        <x:v>No dockhand GitHub credentials are saved in the Keychain.</x:v>
      </x:c>
      <x:c r="D10" s="14" t="str">
        <x:v>internal/command/auth.go</x:v>
      </x:c>
      <x:c r="E10" s="15" t="n">
        <x:v>91</x:v>
      </x:c>
      <x:c r="F10" s="14" t="str">
        <x:v>Logout found no saved credentials.</x:v>
      </x:c>
      <x:c r="G10" s="14" t="str">
        <x:v>Replaces an awkward possessive construction.</x:v>
      </x:c>
      <x:c r="H10" s="14" t="str">
        <x:v>Copy only</x:v>
      </x:c>
      <x:c r="I10" s="14" t="str">
        <x:v>Medium</x:v>
      </x:c>
      <x:c r="J10" s="14" t="str">
        <x:v>Recommended</x:v>
      </x:c>
    </x:row>
    <x:row r="11" ht="54" customHeight="1">
      <x:c r="A11" s="16" t="str">
        <x:v>WF-006</x:v>
      </x:c>
      <x:c r="B11" s="16" t="str">
        <x:v>GitHub still has dockhand authorized until you revoke it: %s
</x:v>
      </x:c>
      <x:c r="C11" s="16" t="str">
        <x:v>To also revoke dockhand’s access on GitHub, visit %s
</x:v>
      </x:c>
      <x:c r="D11" s="16" t="str">
        <x:v>internal/command/auth.go</x:v>
      </x:c>
      <x:c r="E11" s="17" t="n">
        <x:v>96</x:v>
      </x:c>
      <x:c r="F11" s="16" t="str">
        <x:v>Local logout succeeded; GitHub authorization remains.</x:v>
      </x:c>
      <x:c r="G11" s="16" t="str">
        <x:v>Turns an awkward status statement into a clear optional next step.</x:v>
      </x:c>
      <x:c r="H11" s="16" t="str">
        <x:v>Copy only</x:v>
      </x:c>
      <x:c r="I11" s="16" t="str">
        <x:v>Medium</x:v>
      </x:c>
      <x:c r="J11" s="16" t="str">
        <x:v>Recommended</x:v>
      </x:c>
    </x:row>
    <x:row r="12" ht="54" customHeight="1">
      <x:c r="A12" s="14" t="str">
        <x:v>WF-007</x:v>
      </x:c>
      <x:c r="B12" s="14" t="str">
        <x:v>Update a port and open its pull request, asking nothing</x:v>
      </x:c>
      <x:c r="C12" s="14" t="str">
        <x:v>Update a port, check it, and open a pull request without prompts</x:v>
      </x:c>
      <x:c r="D12" s="14" t="str">
        <x:v>internal/command/bump.go</x:v>
      </x:c>
      <x:c r="E12" s="15" t="n">
        <x:v>17</x:v>
      </x:c>
      <x:c r="F12" s="14" t="str">
        <x:v>Short help for the unattended bump workflow.</x:v>
      </x:c>
      <x:c r="G12" s="14" t="str">
        <x:v>Replaces an unnatural phrase and makes the check stage visible.</x:v>
      </x:c>
      <x:c r="H12" s="14" t="str">
        <x:v>Copy only</x:v>
      </x:c>
      <x:c r="I12" s="14" t="str">
        <x:v>Medium</x:v>
      </x:c>
      <x:c r="J12" s="14" t="str">
        <x:v>Recommended</x:v>
      </x:c>
    </x:row>
    <x:row r="13" ht="60" customHeight="1">
      <x:c r="A13" s="16" t="str">
        <x:v>WF-008</x:v>
      </x:c>
      <x:c r="B13" s="16" t="str">
        <x:v>following %s; Ctrl-C stops following, not the check.
</x:v>
      </x:c>
      <x:c r="C13" s="16" t="str">
        <x:v>Following %s. Press Ctrl-C to stop watching; the check will continue.
</x:v>
      </x:c>
      <x:c r="D13" s="16" t="str">
        <x:v>internal/command/queue.go</x:v>
      </x:c>
      <x:c r="E13" s="17" t="n">
        <x:v>108</x:v>
      </x:c>
      <x:c r="F13" s="16" t="str">
        <x:v>Wait attaches to a check run by serve.</x:v>
      </x:c>
      <x:c r="G13" s="16" t="str">
        <x:v>States the effect of interruption explicitly.</x:v>
      </x:c>
      <x:c r="H13" s="16" t="str">
        <x:v>Copy only</x:v>
      </x:c>
      <x:c r="I13" s="16" t="str">
        <x:v>Medium</x:v>
      </x:c>
      <x:c r="J13" s="16" t="str">
        <x:v>Recommended</x:v>
      </x:c>
    </x:row>
    <x:row r="14" ht="60" customHeight="1">
      <x:c r="A14" s="14" t="str">
        <x:v>WF-009</x:v>
      </x:c>
      <x:c r="B14" s="14" t="str">
        <x:v>%s runs here, since no dockhand serve is running. Ctrl-C stops it and keeps what finished.
</x:v>
      </x:c>
      <x:c r="C14" s="14" t="str">
        <x:v>No dockhand serve is running, so %s will run here. Press Ctrl-C to stop it; completed results will be saved.
</x:v>
      </x:c>
      <x:c r="D14" s="14" t="str">
        <x:v>internal/command/queue.go</x:v>
      </x:c>
      <x:c r="E14" s="15" t="n">
        <x:v>111</x:v>
      </x:c>
      <x:c r="F14" s="14" t="str">
        <x:v>Wait runs the check locally because no server owns the queue.</x:v>
      </x:c>
      <x:c r="G14" s="14" t="str">
        <x:v>Makes the execution location and interruption consequence clear.</x:v>
      </x:c>
      <x:c r="H14" s="14" t="str">
        <x:v>Copy only</x:v>
      </x:c>
      <x:c r="I14" s="14" t="str">
        <x:v>High</x:v>
      </x:c>
      <x:c r="J14" s="14" t="str">
        <x:v>Recommended</x:v>
      </x:c>
    </x:row>
    <x:row r="15" ht="60" customHeight="1">
      <x:c r="A15" s="16" t="str">
        <x:v>WF-010</x:v>
      </x:c>
      <x:c r="B15" s="16" t="str">
        <x:v>%s: cancel requested; the process running it stops it at its next step.
</x:v>
      </x:c>
      <x:c r="C15" s="16" t="str">
        <x:v>%s: cancellation requested; the check will stop at the next step.
</x:v>
      </x:c>
      <x:c r="D15" s="16" t="str">
        <x:v>internal/command/queue.go</x:v>
      </x:c>
      <x:c r="E15" s="17" t="n">
        <x:v>162</x:v>
      </x:c>
      <x:c r="F15" s="16" t="str">
        <x:v>Cancel flag was saved for an active check.</x:v>
      </x:c>
      <x:c r="G15" s="16" t="str">
        <x:v>Removes repeated pronouns and clarifies deferred cancellation.</x:v>
      </x:c>
      <x:c r="H15" s="16" t="str">
        <x:v>Copy only</x:v>
      </x:c>
      <x:c r="I15" s="16" t="str">
        <x:v>Medium</x:v>
      </x:c>
      <x:c r="J15" s="16" t="str">
        <x:v>Recommended</x:v>
      </x:c>
    </x:row>
    <x:row r="16" ht="54" customHeight="1">
      <x:c r="A16" s="14" t="str">
        <x:v>WF-011</x:v>
      </x:c>
      <x:c r="B16" s="14" t="str">
        <x:v>--full goes with a port</x:v>
      </x:c>
      <x:c r="C16" s="14" t="str">
        <x:v>--full requires a port name, for example: dockhand logs check-42 jq --full</x:v>
      </x:c>
      <x:c r="D16" s="14" t="str">
        <x:v>internal/command/queue.go</x:v>
      </x:c>
      <x:c r="E16" s="15" t="n">
        <x:v>214</x:v>
      </x:c>
      <x:c r="F16" s="14" t="str">
        <x:v>Full logs requested without a target port.</x:v>
      </x:c>
      <x:c r="G16" s="14" t="str">
        <x:v>Provides a concrete valid invocation.</x:v>
      </x:c>
      <x:c r="H16" s="14" t="str">
        <x:v>Copy only</x:v>
      </x:c>
      <x:c r="I16" s="14" t="str">
        <x:v>Medium</x:v>
      </x:c>
      <x:c r="J16" s="14" t="str">
        <x:v>Recommended</x:v>
      </x:c>
    </x:row>
    <x:row r="17" ht="60" customHeight="1">
      <x:c r="A17" s="16" t="str">
        <x:v>WF-012</x:v>
      </x:c>
      <x:c r="B17" s="16" t="str">
        <x:v>%s's log for %s, %s, is gone; cleanup removes a check's logs %s after they stop counting, or its branch ends</x:v>
      </x:c>
      <x:c r="C17" s="16" t="str">
        <x:v>%s: the log for %s is missing: %s. Cleanup removes logs %s after their results stop counting or their branch ends</x:v>
      </x:c>
      <x:c r="D17" s="16" t="str">
        <x:v>internal/command/queue.go</x:v>
      </x:c>
      <x:c r="E17" s="17" t="n">
        <x:v>259</x:v>
      </x:c>
      <x:c r="F17" s="16" t="str">
        <x:v>A recorded log path no longer exists.</x:v>
      </x:c>
      <x:c r="G17" s="16" t="str">
        <x:v>Separates the missing file from the retention explanation without claiming cleanup caused this particular loss.</x:v>
      </x:c>
      <x:c r="H17" s="16" t="str">
        <x:v>Copy only</x:v>
      </x:c>
      <x:c r="I17" s="16" t="str">
        <x:v>Medium</x:v>
      </x:c>
      <x:c r="J17" s="16" t="str">
        <x:v>Recommended</x:v>
      </x:c>
    </x:row>
    <x:row r="18" ht="60" customHeight="1">
      <x:c r="A18" s="14" t="str">
        <x:v>WF-013</x:v>
      </x:c>
      <x:c r="B18" s="14" t="str">
        <x:v>No steps of %s's build were found in its log, so it's printed whole.
</x:v>
      </x:c>
      <x:c r="C18" s="14" t="str">
        <x:v>No build-step markers were found for %s. Showing the full log.
</x:v>
      </x:c>
      <x:c r="D18" s="14" t="str">
        <x:v>internal/command/queue.go</x:v>
      </x:c>
      <x:c r="E18" s="15" t="n">
        <x:v>359</x:v>
      </x:c>
      <x:c r="F18" s="14" t="str">
        <x:v>A provider log has no recognized step boundaries.</x:v>
      </x:c>
      <x:c r="G18" s="14" t="str">
        <x:v>Names what could not be found and what happens next.</x:v>
      </x:c>
      <x:c r="H18" s="14" t="str">
        <x:v>Copy only</x:v>
      </x:c>
      <x:c r="I18" s="14" t="str">
        <x:v>Medium</x:v>
      </x:c>
      <x:c r="J18" s="14" t="str">
        <x:v>Recommended</x:v>
      </x:c>
    </x:row>
    <x:row r="19" ht="75" customHeight="1">
      <x:c r="A19" s="16" t="str">
        <x:v>WF-014</x:v>
      </x:c>
      <x:c r="B19" s="16" t="str">
        <x:v>From line %d, where %s's own build begins; --full prints the %d lines before it too, its dependencies' installs among them.
</x:v>
      </x:c>
      <x:c r="C19" s="16" t="str">
        <x:v>Showing from line %d, where the build for %s begins. Use --full to include the previous %d lines, including dependency installation.
</x:v>
      </x:c>
      <x:c r="D19" s="16" t="str">
        <x:v>internal/command/queue.go</x:v>
      </x:c>
      <x:c r="E19" s="17" t="n">
        <x:v>374</x:v>
      </x:c>
      <x:c r="F19" s="16" t="str">
        <x:v>Port log view skips earlier dependency output.</x:v>
      </x:c>
      <x:c r="G19" s="16" t="str">
        <x:v>Explains the excerpt boundary and how to see omitted content.</x:v>
      </x:c>
      <x:c r="H19" s="16" t="str">
        <x:v>Copy only</x:v>
      </x:c>
      <x:c r="I19" s="16" t="str">
        <x:v>Medium</x:v>
      </x:c>
      <x:c r="J19" s="16" t="str">
        <x:v>Recommended</x:v>
      </x:c>
    </x:row>
    <x:row r="20" ht="60" customHeight="1">
      <x:c r="A20" s="14" t="str">
        <x:v>WF-015</x:v>
      </x:c>
      <x:c r="B20" s="14" t="str">
        <x:v>  nothing is recorded of its provider runs: it reached none, or its branch ended and cleanup kept the check alone (cleanup.after)</x:v>
      </x:c>
      <x:c r="C20" s="14" t="str">
        <x:v>  No provider runs are recorded. The check either never reached a provider, or cleanup removed the provider records after the branch ended (cleanup.after).</x:v>
      </x:c>
      <x:c r="D20" s="14" t="str">
        <x:v>internal/command/queue.go</x:v>
      </x:c>
      <x:c r="E20" s="15" t="n">
        <x:v>502</x:v>
      </x:c>
      <x:c r="F20" s="14" t="str">
        <x:v>Check history has no execution records.</x:v>
      </x:c>
      <x:c r="G20" s="14" t="str">
        <x:v>Makes the two possible causes legible.</x:v>
      </x:c>
      <x:c r="H20" s="14" t="str">
        <x:v>Copy only</x:v>
      </x:c>
      <x:c r="I20" s="14" t="str">
        <x:v>Medium</x:v>
      </x:c>
      <x:c r="J20" s="14" t="str">
        <x:v>Recommended</x:v>
      </x:c>
    </x:row>
    <x:row r="21" ht="54" customHeight="1">
      <x:c r="A21" s="16" t="str">
        <x:v>WF-016</x:v>
      </x:c>
      <x:c r="B21" s="16" t="str">
        <x:v>--ship-to %s: list, commit, check, or submit</x:v>
      </x:c>
      <x:c r="C21" s="16" t="str">
        <x:v>invalid --ship-to value %s; choose list, commit, check, or submit</x:v>
      </x:c>
      <x:c r="D21" s="16" t="str">
        <x:v>internal/command/serve.go</x:v>
      </x:c>
      <x:c r="E21" s="17" t="n">
        <x:v>81</x:v>
      </x:c>
      <x:c r="F21" s="16" t="str">
        <x:v>Invalid stage supplied to serve.</x:v>
      </x:c>
      <x:c r="G21" s="16" t="str">
        <x:v>Identifies why the value was rejected.</x:v>
      </x:c>
      <x:c r="H21" s="16" t="str">
        <x:v>Copy only</x:v>
      </x:c>
      <x:c r="I21" s="16" t="str">
        <x:v>Medium</x:v>
      </x:c>
      <x:c r="J21" s="16" t="str">
        <x:v>Recommended</x:v>
      </x:c>
    </x:row>
    <x:row r="22" ht="54" customHeight="1">
      <x:c r="A22" s="14" t="str">
        <x:v>WF-017</x:v>
      </x:c>
      <x:c r="B22" s="14" t="str">
        <x:v>for this run, how far serve carries your outdated ports, whatever serve.ship_to says: list, commit, check, or submit</x:v>
      </x:c>
      <x:c r="C22" s="14" t="str">
        <x:v>override serve.ship_to for this run: list, commit, check, or submit</x:v>
      </x:c>
      <x:c r="D22" s="14" t="str">
        <x:v>internal/command/serve.go</x:v>
      </x:c>
      <x:c r="E22" s="15" t="n">
        <x:v>116</x:v>
      </x:c>
      <x:c r="F22" s="14" t="str">
        <x:v>Help for serve --ship-to.</x:v>
      </x:c>
      <x:c r="G22" s="14" t="str">
        <x:v>Makes the override behavior concise.</x:v>
      </x:c>
      <x:c r="H22" s="14" t="str">
        <x:v>Copy only</x:v>
      </x:c>
      <x:c r="I22" s="14" t="str">
        <x:v>Medium</x:v>
      </x:c>
      <x:c r="J22" s="14" t="str">
        <x:v>Recommended</x:v>
      </x:c>
    </x:row>
    <x:row r="23" ht="54" customHeight="1">
      <x:c r="A23" s="16" t="str">
        <x:v>WF-018</x:v>
      </x:c>
      <x:c r="B23" s="16" t="str">
        <x:v>for this run, post no macOS notifications, whatever serve.notify says</x:v>
      </x:c>
      <x:c r="C23" s="16" t="str">
        <x:v>disable macOS notifications for this run, overriding serve.notify</x:v>
      </x:c>
      <x:c r="D23" s="16" t="str">
        <x:v>internal/command/serve.go</x:v>
      </x:c>
      <x:c r="E23" s="17" t="n">
        <x:v>117</x:v>
      </x:c>
      <x:c r="F23" s="16" t="str">
        <x:v>Help for serve --no-notify.</x:v>
      </x:c>
      <x:c r="G23" s="16" t="str">
        <x:v>Removes conversational filler.</x:v>
      </x:c>
      <x:c r="H23" s="16" t="str">
        <x:v>Copy only</x:v>
      </x:c>
      <x:c r="I23" s="16" t="str">
        <x:v>Medium</x:v>
      </x:c>
      <x:c r="J23" s="16" t="str">
        <x:v>Recommended</x:v>
      </x:c>
    </x:row>
    <x:row r="24" ht="54" customHeight="1">
      <x:c r="A24" s="14" t="str">
        <x:v>WF-019</x:v>
      </x:c>
      <x:c r="B24" s="14" t="str">
        <x:v>serve --install makes a launchd agent, which is macOS's; elsewhere, run dockhand serve under your own service manager</x:v>
      </x:c>
      <x:c r="C24" s="14" t="str">
        <x:v>serve --install requires macOS; on other platforms, run dockhand serve with your service manager</x:v>
      </x:c>
      <x:c r="D24" s="14" t="str">
        <x:v>internal/command/serve.go</x:v>
      </x:c>
      <x:c r="E24" s="15" t="n">
        <x:v>207</x:v>
      </x:c>
      <x:c r="F24" s="14" t="str">
        <x:v>Installation requested on another operating system.</x:v>
      </x:c>
      <x:c r="G24" s="14" t="str">
        <x:v>Leads with the unsupported operation and gives the alternative.</x:v>
      </x:c>
      <x:c r="H24" s="14" t="str">
        <x:v>Copy only</x:v>
      </x:c>
      <x:c r="I24" s="14" t="str">
        <x:v>Medium</x:v>
      </x:c>
      <x:c r="J24" s="14" t="str">
        <x:v>Recommended</x:v>
      </x:c>
    </x:row>
    <x:row r="25" ht="75" customHeight="1">
      <x:c r="A25" s="16" t="str">
        <x:v>WF-020</x:v>
      </x:c>
      <x:c r="B25" s="16" t="str">
        <x:v>%s isn't written into the agent, which anyone on this Mac can read; serve signs in to GitHub with the keychain's login (dockhand setup github).
</x:v>
      </x:c>
      <x:c r="C25" s="16" t="str">
        <x:v>%s is omitted from the agent file because that file is readable by other users on this Mac. serve uses the GitHub credentials saved in the Keychain; run dockhand setup github to save them.
</x:v>
      </x:c>
      <x:c r="D25" s="16" t="str">
        <x:v>internal/command/serve.go</x:v>
      </x:c>
      <x:c r="E25" s="17" t="n">
        <x:v>271</x:v>
      </x:c>
      <x:c r="F25" s="16" t="str">
        <x:v>Installing serve while a token environment variable is set.</x:v>
      </x:c>
      <x:c r="G25" s="16" t="str">
        <x:v>Clearly explains why the installed agent uses a different credential source.</x:v>
      </x:c>
      <x:c r="H25" s="16" t="str">
        <x:v>Copy only</x:v>
      </x:c>
      <x:c r="I25" s="16" t="str">
        <x:v>High</x:v>
      </x:c>
      <x:c r="J25" s="16" t="str">
        <x:v>Recommended</x:v>
      </x:c>
    </x:row>
    <x:row r="26" ht="54" customHeight="1">
      <x:c r="A26" s="14" t="str">
        <x:v>WF-021</x:v>
      </x:c>
      <x:c r="B26" s="14" t="str">
        <x:v>After changing these settings, run serve --install again; after an upgrade, serve restarts on the new build by itself.</x:v>
      </x:c>
      <x:c r="C26" s="14" t="str">
        <x:v>Run dockhand serve --install again after changing these settings. After an upgrade, serve restarts automatically with the new version.</x:v>
      </x:c>
      <x:c r="D26" s="14" t="str">
        <x:v>internal/command/serve.go</x:v>
      </x:c>
      <x:c r="E26" s="15" t="n">
        <x:v>274</x:v>
      </x:c>
      <x:c r="F26" s="14" t="str">
        <x:v>Instructions after installing a login agent.</x:v>
      </x:c>
      <x:c r="G26" s="14" t="str">
        <x:v>Uses a complete command and separates two independent conditions.</x:v>
      </x:c>
      <x:c r="H26" s="14" t="str">
        <x:v>Copy only</x:v>
      </x:c>
      <x:c r="I26" s="14" t="str">
        <x:v>Medium</x:v>
      </x:c>
      <x:c r="J26" s="14" t="str">
        <x:v>Recommended</x:v>
      </x:c>
    </x:row>
    <x:row r="27" ht="54" customHeight="1">
      <x:c r="A27" s="16" t="str">
        <x:v>WF-022</x:v>
      </x:c>
      <x:c r="B27" s="16" t="str">
        <x:v>? Log in to GitHub now, for submit and checks in your fork? [Y/n] </x:v>
      </x:c>
      <x:c r="C27" s="16" t="str">
        <x:v>? Log in to GitHub to submit pull requests and run checks in your fork? [Y/n] </x:v>
      </x:c>
      <x:c r="D27" s="16" t="str">
        <x:v>internal/command/setup.go</x:v>
      </x:c>
      <x:c r="E27" s="17" t="n">
        <x:v>57</x:v>
      </x:c>
      <x:c r="F27" s="16" t="str">
        <x:v>Interactive setup offers GitHub login.</x:v>
      </x:c>
      <x:c r="G27" s="16" t="str">
        <x:v>Names the actions login enables.</x:v>
      </x:c>
      <x:c r="H27" s="16" t="str">
        <x:v>Copy only</x:v>
      </x:c>
      <x:c r="I27" s="16" t="str">
        <x:v>Medium</x:v>
      </x:c>
      <x:c r="J27" s="16" t="str">
        <x:v>Recommended</x:v>
      </x:c>
    </x:row>
    <x:row r="28" ht="54" customHeight="1">
      <x:c r="A28" s="14" t="str">
        <x:v>WF-023</x:v>
      </x:c>
      <x:c r="B28" s="14" t="str">
        <x:v>? Write maintainer = %q to %s, as the ports naming @%s write it? [Y/n] </x:v>
      </x:c>
      <x:c r="C28" s="14" t="str">
        <x:v>? Save maintainer = %q in %s? This matches the maintainer entry in ports listing @%s. [Y/n] </x:v>
      </x:c>
      <x:c r="D28" s="14" t="str">
        <x:v>internal/command/setup.go</x:v>
      </x:c>
      <x:c r="E28" s="15" t="n">
        <x:v>72</x:v>
      </x:c>
      <x:c r="F28" s="14" t="str">
        <x:v>Setup suggests maintainer spelling from existing ports.</x:v>
      </x:c>
      <x:c r="G28" s="14" t="str">
        <x:v>Explains where the suggestion came from without a nested clause.</x:v>
      </x:c>
      <x:c r="H28" s="14" t="str">
        <x:v>Copy only</x:v>
      </x:c>
      <x:c r="I28" s="14" t="str">
        <x:v>Medium</x:v>
      </x:c>
      <x:c r="J28" s="14" t="str">
        <x:v>Recommended</x:v>
      </x:c>
    </x:row>
    <x:row r="29" ht="60" customHeight="1">
      <x:c r="A29" s="16" t="str">
        <x:v>WF-024</x:v>
      </x:c>
      <x:c r="B29" s="16" t="str">
        <x:v>Wrote maintainer = %q, for --mine, create, and serve's daily look.
</x:v>
      </x:c>
      <x:c r="C29" s="16" t="str">
        <x:v>Saved maintainer = %q for --mine, create, and the daily release check in serve.
</x:v>
      </x:c>
      <x:c r="D29" s="16" t="str">
        <x:v>internal/command/setup.go</x:v>
      </x:c>
      <x:c r="E29" s="17" t="n">
        <x:v>81</x:v>
      </x:c>
      <x:c r="F29" s="16" t="str">
        <x:v>Maintainer setting was saved.</x:v>
      </x:c>
      <x:c r="G29" s="16" t="str">
        <x:v>Replaces vague daily look with its actual task.</x:v>
      </x:c>
      <x:c r="H29" s="16" t="str">
        <x:v>Copy only</x:v>
      </x:c>
      <x:c r="I29" s="16" t="str">
        <x:v>Medium</x:v>
      </x:c>
      <x:c r="J29" s="16" t="str">
        <x:v>Recommended</x:v>
      </x:c>
    </x:row>
    <x:row r="30" ht="54" customHeight="1">
      <x:c r="A30" s="14" t="str">
        <x:v>WF-025</x:v>
      </x:c>
      <x:c r="B30" s="14" t="str">
        <x:v>? Make the Tart image for this Mac's macOS now? It downloads macOS and takes up to %s of disk. [y/N] </x:v>
      </x:c>
      <x:c r="C30" s="14" t="str">
        <x:v>? Create a Tart image for this Mac’s macOS version? This downloads macOS and uses up to %s of disk space. [y/N] </x:v>
      </x:c>
      <x:c r="D30" s="14" t="str">
        <x:v>internal/command/setup.go</x:v>
      </x:c>
      <x:c r="E30" s="15" t="n">
        <x:v>90</x:v>
      </x:c>
      <x:c r="F30" s="14" t="str">
        <x:v>Setup offers a local macOS VM image.</x:v>
      </x:c>
      <x:c r="G30" s="14" t="str">
        <x:v>Uses familiar creation and disk-space language.</x:v>
      </x:c>
      <x:c r="H30" s="14" t="str">
        <x:v>Copy only</x:v>
      </x:c>
      <x:c r="I30" s="14" t="str">
        <x:v>Medium</x:v>
      </x:c>
      <x:c r="J30" s="14" t="str">
        <x:v>Recommended</x:v>
      </x:c>
    </x:row>
    <x:row r="31" ht="60" customHeight="1">
      <x:c r="A31" s="16" t="str">
        <x:v>WF-026</x:v>
      </x:c>
      <x:c r="B31" s="16" t="str">
        <x:v>? Restore the Tart image for this Mac's macOS from its golden copy now? It takes about a minute, with no download. [y/N] </x:v>
      </x:c>
      <x:c r="C31" s="16" t="str">
        <x:v>? Restore the Tart image for this Mac’s macOS version from its saved original? This takes about a minute and requires no download. [y/N] </x:v>
      </x:c>
      <x:c r="D31" s="16" t="str">
        <x:v>internal/command/setup.go</x:v>
      </x:c>
      <x:c r="E31" s="17" t="n">
        <x:v>94</x:v>
      </x:c>
      <x:c r="F31" s="16" t="str">
        <x:v>A saved base image allows restoring without a download.</x:v>
      </x:c>
      <x:c r="G31" s="16" t="str">
        <x:v>Explains golden copy in ordinary language.</x:v>
      </x:c>
      <x:c r="H31" s="16" t="str">
        <x:v>Copy only</x:v>
      </x:c>
      <x:c r="I31" s="16" t="str">
        <x:v>Medium</x:v>
      </x:c>
      <x:c r="J31" s="16" t="str">
        <x:v>Recommended</x:v>
      </x:c>
    </x:row>
    <x:row r="32" ht="54" customHeight="1">
      <x:c r="A32" s="14" t="str">
        <x:v>WF-027</x:v>
      </x:c>
      <x:c r="B32" s="14" t="str">
        <x:v>No image made: %v
</x:v>
      </x:c>
      <x:c r="C32" s="14" t="str">
        <x:v>Could not prepare the Tart image: %v
</x:v>
      </x:c>
      <x:c r="D32" s="14" t="str">
        <x:v>internal/command/setup.go</x:v>
      </x:c>
      <x:c r="E32" s="15" t="n">
        <x:v>104</x:v>
      </x:c>
      <x:c r="F32" s="14" t="str">
        <x:v>Setup image creation or restoration failed.</x:v>
      </x:c>
      <x:c r="G32" s="14" t="str">
        <x:v>Covers both create and restore paths accurately.</x:v>
      </x:c>
      <x:c r="H32" s="14" t="str">
        <x:v>Copy only</x:v>
      </x:c>
      <x:c r="I32" s="14" t="str">
        <x:v>Medium</x:v>
      </x:c>
      <x:c r="J32" s="14" t="str">
        <x:v>Recommended</x:v>
      </x:c>
    </x:row>
    <x:row r="33" ht="54" customHeight="1">
      <x:c r="A33" s="16" t="str">
        <x:v>WF-028</x:v>
      </x:c>
      <x:c r="B33" s="16" t="str">
        <x:v>name ports, --mine, --passing, or a branch: one of them</x:v>
      </x:c>
      <x:c r="C33" s="16" t="str">
        <x:v>choose one target source: port names, --mine, --passing, or a branch</x:v>
      </x:c>
      <x:c r="D33" s="16" t="str">
        <x:v>internal/command/ship.go</x:v>
      </x:c>
      <x:c r="E33" s="17" t="n">
        <x:v>63</x:v>
      </x:c>
      <x:c r="F33" s="16" t="str">
        <x:v>Ship target selectors conflict.</x:v>
      </x:c>
      <x:c r="G33" s="16" t="str">
        <x:v>Explains mutual exclusivity without a trailing correction.</x:v>
      </x:c>
      <x:c r="H33" s="16" t="str">
        <x:v>Copy only</x:v>
      </x:c>
      <x:c r="I33" s="16" t="str">
        <x:v>Medium</x:v>
      </x:c>
      <x:c r="J33" s="16" t="str">
        <x:v>Recommended</x:v>
      </x:c>
    </x:row>
    <x:row r="34" ht="54" customHeight="1">
      <x:c r="A34" s="14" t="str">
        <x:v>WF-029</x:v>
      </x:c>
      <x:c r="B34" s="14" t="str">
        <x:v>%s is changed in %s; ship -b &lt;branch&gt; names which to carry on</x:v>
      </x:c>
      <x:c r="C34" s="14" t="str">
        <x:v>%s has changes in multiple branches: %s. Use dockhand ship -b &lt;branch&gt; to choose one</x:v>
      </x:c>
      <x:c r="D34" s="14" t="str">
        <x:v>internal/command/ship.go</x:v>
      </x:c>
      <x:c r="E34" s="15" t="n">
        <x:v>171</x:v>
      </x:c>
      <x:c r="F34" s="14" t="str">
        <x:v>More than one open branch changes a requested port.</x:v>
      </x:c>
      <x:c r="G34" s="14" t="str">
        <x:v>Clearly states the ambiguity and resolution.</x:v>
      </x:c>
      <x:c r="H34" s="14" t="str">
        <x:v>Copy only</x:v>
      </x:c>
      <x:c r="I34" s="14" t="str">
        <x:v>High</x:v>
      </x:c>
      <x:c r="J34" s="14" t="str">
        <x:v>Recommended</x:v>
      </x:c>
    </x:row>
    <x:row r="35" ht="54" customHeight="1">
      <x:c r="A35" s="16" t="str">
        <x:v>WF-030</x:v>
      </x:c>
      <x:c r="B35" s="16" t="str">
        <x:v>its branch, updated again where it isn't at </x:v>
      </x:c>
      <x:c r="C35" s="16" t="str">
        <x:v>existing branch; update if needed to </x:v>
      </x:c>
      <x:c r="D35" s="16" t="str">
        <x:v>internal/command/ship.go</x:v>
      </x:c>
      <x:c r="E35" s="17" t="n">
        <x:v>222</x:v>
      </x:c>
      <x:c r="F35" s="16" t="str">
        <x:v>Plan resumes an existing branch and brings it to the requested release.</x:v>
      </x:c>
      <x:c r="G35" s="16" t="str">
        <x:v>Removes a convoluted conditional clause.</x:v>
      </x:c>
      <x:c r="H35" s="16" t="str">
        <x:v>Copy only; this is a prefix concatenated with the requested version or “the newest release”.</x:v>
      </x:c>
      <x:c r="I35" s="16" t="str">
        <x:v>Medium</x:v>
      </x:c>
      <x:c r="J35" s="16" t="str">
        <x:v>Recommended</x:v>
      </x:c>
    </x:row>
    <x:row r="36" ht="60" customHeight="1">
      <x:c r="A36" s="14" t="str">
        <x:v>WF-031</x:v>
      </x:c>
      <x:c r="B36" s="14" t="str">
        <x:v>%s is %s for these files, but not everywhere or with tests as strict as this check asks; dockhand cancel %s, then ship again, or wait for it and ship again</x:v>
      </x:c>
      <x:c r="C36" s="14" t="str">
        <x:v>%s is %s for these files, but does not cover the required environments or test policy. Run dockhand cancel %s, then ship again, or wait for it to finish and ship again</x:v>
      </x:c>
      <x:c r="D36" s="14" t="str">
        <x:v>internal/command/ship.go</x:v>
      </x:c>
      <x:c r="E36" s="15" t="n">
        <x:v>467</x:v>
      </x:c>
      <x:c r="F36" s="14" t="str">
        <x:v>An active check cannot satisfy the requested ship check.</x:v>
      </x:c>
      <x:c r="G36" s="14" t="str">
        <x:v>Names the coverage gap and separates the two ways forward.</x:v>
      </x:c>
      <x:c r="H36" s="14" t="str">
        <x:v>Copy only</x:v>
      </x:c>
      <x:c r="I36" s="14" t="str">
        <x:v>High</x:v>
      </x:c>
      <x:c r="J36" s="14" t="str">
        <x:v>Recommended</x:v>
      </x:c>
    </x:row>
    <x:row r="37" ht="54" customHeight="1">
      <x:c r="A37" s="16" t="str">
        <x:v>WF-032</x:v>
      </x:c>
      <x:c r="B37" s="16" t="str">
        <x:v>--plain goes with --watch</x:v>
      </x:c>
      <x:c r="C37" s="16" t="str">
        <x:v>--plain requires --watch</x:v>
      </x:c>
      <x:c r="D37" s="16" t="str">
        <x:v>internal/command/status.go</x:v>
      </x:c>
      <x:c r="E37" s="17" t="n">
        <x:v>60</x:v>
      </x:c>
      <x:c r="F37" s="16" t="str">
        <x:v>Invalid status flags.</x:v>
      </x:c>
      <x:c r="G37" s="16" t="str">
        <x:v>Uses standard dependency language.</x:v>
      </x:c>
      <x:c r="H37" s="16" t="str">
        <x:v>Copy only</x:v>
      </x:c>
      <x:c r="I37" s="16" t="str">
        <x:v>Medium</x:v>
      </x:c>
      <x:c r="J37" s="16" t="str">
        <x:v>Recommended</x:v>
      </x:c>
    </x:row>
    <x:row r="38" ht="54" customHeight="1">
      <x:c r="A38" s="14" t="str">
        <x:v>WF-033</x:v>
      </x:c>
      <x:c r="B38" s="14" t="str">
        <x:v>--watch keeps the whole status current; it takes no branch, --attention, --all, or --json</x:v>
      </x:c>
      <x:c r="C38" s="14" t="str">
        <x:v>--watch shows all current status and cannot be combined with a branch selector, --attention, --all, or --json</x:v>
      </x:c>
      <x:c r="D38" s="14" t="str">
        <x:v>internal/command/status.go</x:v>
      </x:c>
      <x:c r="E38" s="15" t="n">
        <x:v>63</x:v>
      </x:c>
      <x:c r="F38" s="14" t="str">
        <x:v>Status watch conflicts with selectors or output flags.</x:v>
      </x:c>
      <x:c r="G38" s="14" t="str">
        <x:v>States the incompatible options directly.</x:v>
      </x:c>
      <x:c r="H38" s="14" t="str">
        <x:v>Copy only</x:v>
      </x:c>
      <x:c r="I38" s="14" t="str">
        <x:v>Medium</x:v>
      </x:c>
      <x:c r="J38" s="14" t="str">
        <x:v>Recommended</x:v>
      </x:c>
    </x:row>
    <x:row r="39" ht="60" customHeight="1">
      <x:c r="A39" s="16" t="str">
        <x:v>WF-034</x:v>
      </x:c>
      <x:c r="B39" s="16" t="str">
        <x:v>Your ports: %s may have newer releases, for your look, as serve found %s (dockhand outdated %s)
</x:v>
      </x:c>
      <x:c r="C39" s="16" t="str">
        <x:v>Your ports: %s may have newer releases; review needed. Last checked %s by serve. Run dockhand outdated %s for details.
</x:v>
      </x:c>
      <x:c r="D39" s="16" t="str">
        <x:v>internal/command/status.go</x:v>
      </x:c>
      <x:c r="E39" s="17" t="n">
        <x:v>250</x:v>
      </x:c>
      <x:c r="F39" s="16" t="str">
        <x:v>Daily release scan could not confidently select newer versions.</x:v>
      </x:c>
      <x:c r="G39" s="16" t="str">
        <x:v>Distinguishes uncertainty from confirmed updates and names the action.</x:v>
      </x:c>
      <x:c r="H39" s="16" t="str">
        <x:v>Copy only</x:v>
      </x:c>
      <x:c r="I39" s="16" t="str">
        <x:v>Medium</x:v>
      </x:c>
      <x:c r="J39" s="16" t="str">
        <x:v>Recommended</x:v>
      </x:c>
    </x:row>
    <x:row r="40" ht="60" customHeight="1">
      <x:c r="A40" s="14" t="str">
        <x:v>WF-035</x:v>
      </x:c>
      <x:c r="B40" s="14" t="str">
        <x:v>passed; held for a look: </x:v>
      </x:c>
      <x:c r="C40" s="14" t="str">
        <x:v>passed; review needed: </x:v>
      </x:c>
      <x:c r="D40" s="14" t="str">
        <x:v>internal/command/status.go</x:v>
      </x:c>
      <x:c r="E40" s="15" t="n">
        <x:v>388</x:v>
      </x:c>
      <x:c r="F40" s="14" t="str">
        <x:v>Attention list combines check success with a submission hold.</x:v>
      </x:c>
      <x:c r="G40" s="14" t="str">
        <x:v>Uses a recognizable state label instead of a vague phrase.</x:v>
      </x:c>
      <x:c r="H40" s="14" t="str">
        <x:v>Copy only; apply to both Held and Moved branches of attentionRows. Same wording also occurs at line(s) 394.</x:v>
      </x:c>
      <x:c r="I40" s="14" t="str">
        <x:v>Medium</x:v>
      </x:c>
      <x:c r="J40" s="14" t="str">
        <x:v>Recommended</x:v>
      </x:c>
    </x:row>
    <x:row r="41" ht="60" customHeight="1">
      <x:c r="A41" s="16" t="str">
        <x:v>WF-036</x:v>
      </x:c>
      <x:c r="B41" s="16" t="str">
        <x:v>passed; held for a look: </x:v>
      </x:c>
      <x:c r="C41" s="16" t="str">
        <x:v>passed; submission paused for review: </x:v>
      </x:c>
      <x:c r="D41" s="16" t="str">
        <x:v>internal/command/status.go</x:v>
      </x:c>
      <x:c r="E41" s="17" t="n">
        <x:v>388</x:v>
      </x:c>
      <x:c r="F41" s="16" t="str">
        <x:v>Attention list combines check success with a submission hold.</x:v>
      </x:c>
      <x:c r="G41" s="16" t="str">
        <x:v>Adds the submission consequence for users unfamiliar with the attention list.</x:v>
      </x:c>
      <x:c r="H41" s="16" t="str">
        <x:v>Copy only; apply to both Held and Moved branches of attentionRows. Same wording also occurs at line(s) 394.</x:v>
      </x:c>
      <x:c r="I41" s="16" t="str">
        <x:v>Medium</x:v>
      </x:c>
      <x:c r="J41" s="16" t="str">
        <x:v>Alternative</x:v>
      </x:c>
    </x:row>
    <x:row r="42" ht="54" customHeight="1">
      <x:c r="A42" s="14" t="str">
        <x:v>WF-037</x:v>
      </x:c>
      <x:c r="B42" s="14" t="str">
        <x:v>passed; #%d does not have it yet</x:v>
      </x:c>
      <x:c r="C42" s="14" t="str">
        <x:v>passed; #%d has not been updated with these changes</x:v>
      </x:c>
      <x:c r="D42" s="14" t="str">
        <x:v>internal/command/status.go</x:v>
      </x:c>
      <x:c r="E42" s="15" t="n">
        <x:v>403</x:v>
      </x:c>
      <x:c r="F42" s="14" t="str">
        <x:v>A passing local revision is newer than its existing pull request.</x:v>
      </x:c>
      <x:c r="G42" s="14" t="str">
        <x:v>Specifies what the pull request is missing.</x:v>
      </x:c>
      <x:c r="H42" s="14" t="str">
        <x:v>Copy only</x:v>
      </x:c>
      <x:c r="I42" s="14" t="str">
        <x:v>Medium</x:v>
      </x:c>
      <x:c r="J42" s="14" t="str">
        <x:v>Recommended</x:v>
      </x:c>
    </x:row>
    <x:row r="43" ht="54" customHeight="1">
      <x:c r="A43" s="16" t="str">
        <x:v>WF-038</x:v>
      </x:c>
      <x:c r="B43" s="16" t="str">
        <x:v> · on dockhand %s, where this is %s</x:v>
      </x:c>
      <x:c r="C43" s="16" t="str">
        <x:v> · running dockhand %s; this command is %s</x:v>
      </x:c>
      <x:c r="D43" s="16" t="str">
        <x:v>internal/command/status.go</x:v>
      </x:c>
      <x:c r="E43" s="17" t="n">
        <x:v>570</x:v>
      </x:c>
      <x:c r="F43" s="16" t="str">
        <x:v>Server and invoking CLI have different builds.</x:v>
      </x:c>
      <x:c r="G43" s="16" t="str">
        <x:v>Clearly identifies the two versions being compared.</x:v>
      </x:c>
      <x:c r="H43" s="16" t="str">
        <x:v>Copy only</x:v>
      </x:c>
      <x:c r="I43" s="16" t="str">
        <x:v>Medium</x:v>
      </x:c>
      <x:c r="J43" s="16" t="str">
        <x:v>Recommended</x:v>
      </x:c>
    </x:row>
    <x:row r="44" ht="60" customHeight="1">
      <x:c r="A44" s="14" t="str">
        <x:v>WF-039</x:v>
      </x:c>
      <x:c r="B44" s="14" t="str">
        <x:v>Pull requests not read now, so as last read: %v
</x:v>
      </x:c>
      <x:c r="C44" s="14" t="str">
        <x:v>Could not refresh pull requests; showing previously recorded status: %v
</x:v>
      </x:c>
      <x:c r="D44" s="14" t="str">
        <x:v>internal/command/status.go</x:v>
      </x:c>
      <x:c r="E44" s="15" t="n">
        <x:v>742</x:v>
      </x:c>
      <x:c r="F44" s="14" t="str">
        <x:v>Pull request refresh failed.</x:v>
      </x:c>
      <x:c r="G44" s="14" t="str">
        <x:v>Makes stale data explicit.</x:v>
      </x:c>
      <x:c r="H44" s="14" t="str">
        <x:v>Copy only; same literal occurs twice in refreshStatus. Same wording also occurs at line(s) 746.</x:v>
      </x:c>
      <x:c r="I44" s="14" t="str">
        <x:v>High</x:v>
      </x:c>
      <x:c r="J44" s="14" t="str">
        <x:v>Recommended</x:v>
      </x:c>
    </x:row>
    <x:row r="45" ht="54" customHeight="1">
      <x:c r="A45" s="16" t="str">
        <x:v>WF-040</x:v>
      </x:c>
      <x:c r="B45" s="16" t="str">
        <x:v>%s not read now, so as last read: %v
</x:v>
      </x:c>
      <x:c r="C45" s="16" t="str">
        <x:v>Could not refresh %s; showing previously recorded status: %v
</x:v>
      </x:c>
      <x:c r="D45" s="16" t="str">
        <x:v>internal/command/status.go</x:v>
      </x:c>
      <x:c r="E45" s="17" t="n">
        <x:v>744</x:v>
      </x:c>
      <x:c r="F45" s="16" t="str">
        <x:v>Some individual pull requests could not be refreshed.</x:v>
      </x:c>
      <x:c r="G45" s="16" t="str">
        <x:v>Clearly scopes stale status to the listed pull requests.</x:v>
      </x:c>
      <x:c r="H45" s="16" t="str">
        <x:v>Copy only</x:v>
      </x:c>
      <x:c r="I45" s="16" t="str">
        <x:v>High</x:v>
      </x:c>
      <x:c r="J45" s="16" t="str">
        <x:v>Recommended</x:v>
      </x:c>
    </x:row>
    <x:row r="46" ht="54" customHeight="1">
      <x:c r="A46" s="14" t="str">
        <x:v>WF-041</x:v>
      </x:c>
      <x:c r="B46" s="14" t="str">
        <x:v>
Watching; events follow as they happen. Ctrl-C stops.</x:v>
      </x:c>
      <x:c r="C46" s="14" t="str">
        <x:v>
Watching for changes. Press Ctrl-C to stop watching.</x:v>
      </x:c>
      <x:c r="D46" s="14" t="str">
        <x:v>internal/command/watch.go</x:v>
      </x:c>
      <x:c r="E46" s="15" t="n">
        <x:v>79</x:v>
      </x:c>
      <x:c r="F46" s="14" t="str">
        <x:v>Plain status watch begins.</x:v>
      </x:c>
      <x:c r="G46" s="14" t="str">
        <x:v>Clarifies that Ctrl-C ends observation.</x:v>
      </x:c>
      <x:c r="H46" s="14" t="str">
        <x:v>Copy only</x:v>
      </x:c>
      <x:c r="I46" s="14" t="str">
        <x:v>Medium</x:v>
      </x:c>
      <x:c r="J46" s="14" t="str">
        <x:v>Recommended</x:v>
      </x:c>
    </x:row>
    <x:row r="47" ht="54" customHeight="1">
      <x:c r="A47" s="16" t="str">
        <x:v>WF-042</x:v>
      </x:c>
      <x:c r="B47" s="16" t="str">
        <x:v>
Enter returns to the view. </x:v>
      </x:c>
      <x:c r="C47" s="16" t="str">
        <x:v>
Press Enter to return to status. </x:v>
      </x:c>
      <x:c r="D47" s="16" t="str">
        <x:v>internal/command/watch.go</x:v>
      </x:c>
      <x:c r="E47" s="17" t="n">
        <x:v>208</x:v>
      </x:c>
      <x:c r="F47" s="16" t="str">
        <x:v>Interactive watch pauses after a subcommand.</x:v>
      </x:c>
      <x:c r="G47" s="16" t="str">
        <x:v>Names the destination and uses a direct instruction.</x:v>
      </x:c>
      <x:c r="H47" s="16" t="str">
        <x:v>Copy only</x:v>
      </x:c>
      <x:c r="I47" s="16" t="str">
        <x:v>Medium</x:v>
      </x:c>
      <x:c r="J47" s="16" t="str">
        <x:v>Recommended</x:v>
      </x:c>
    </x:row>
    <x:row r="48" ht="54" customHeight="1">
      <x:c r="A48" s="14" t="str">
        <x:v>WF-043</x:v>
      </x:c>
      <x:c r="B48" s="14" t="str">
        <x:v>no checks to show the logs of</x:v>
      </x:c>
      <x:c r="C48" s="14" t="str">
        <x:v>No checks have been recorded yet.</x:v>
      </x:c>
      <x:c r="D48" s="14" t="str">
        <x:v>internal/command/watch.go</x:v>
      </x:c>
      <x:c r="E48" s="15" t="n">
        <x:v>286</x:v>
      </x:c>
      <x:c r="F48" s="14" t="str">
        <x:v>Interactive logs shortcut has no check to select.</x:v>
      </x:c>
      <x:c r="G48" s="14" t="str">
        <x:v>States the underlying reason in natural language.</x:v>
      </x:c>
      <x:c r="H48" s="14" t="str">
        <x:v>Copy only</x:v>
      </x:c>
      <x:c r="I48" s="14" t="str">
        <x:v>Medium</x:v>
      </x:c>
      <x:c r="J48" s="14" t="str">
        <x:v>Recommended</x:v>
      </x:c>
    </x:row>
    <x:row r="49" ht="60" customHeight="1">
      <x:c r="A49" s="16" t="str">
        <x:v>WF-044</x:v>
      </x:c>
      <x:c r="B49" s="16" t="str">
        <x:v>--accept %s: %s is a changed port, and a changed port that fails is accepted only where its baseline fails it the same way, which dockhand check --baseline sees; otherwise it's shared as a draft (--draft)</x:v>
      </x:c>
      <x:c r="C49" s="16" t="str">
        <x:v>--accept %s: %s has changed. Its failure can be accepted only if the baseline fails the same way. Run dockhand check --baseline to compare, or use --draft to share the failing change</x:v>
      </x:c>
      <x:c r="D49" s="16" t="str">
        <x:v>internal/engine/evidence.go</x:v>
      </x:c>
      <x:c r="E49" s="17" t="n">
        <x:v>304</x:v>
      </x:c>
      <x:c r="F49" s="16" t="str">
        <x:v>A changed target failed and has no matching baseline failure.</x:v>
      </x:c>
      <x:c r="G49" s="16" t="str">
        <x:v>Breaks a dense exception rule into the condition and available actions.</x:v>
      </x:c>
      <x:c r="H49" s="16" t="str">
        <x:v>Copy only</x:v>
      </x:c>
      <x:c r="I49" s="16" t="str">
        <x:v>High</x:v>
      </x:c>
      <x:c r="J49" s="16" t="str">
        <x:v>Recommended</x:v>
      </x:c>
    </x:row>
    <x:row r="50" ht="60" customHeight="1">
      <x:c r="A50" s="14" t="str">
        <x:v>WF-045</x:v>
      </x:c>
      <x:c r="B50" s="14" t="str">
        <x:v>%s's check no longer stands: since it, %s; dockhand check builds it there again, or share the branch as a draft (--draft)</x:v>
      </x:c>
      <x:c r="C50" s="14" t="str">
        <x:v>%s: the previous check is no longer valid because %s. Run dockhand check to rebuild in the affected environments, or share the branch with --draft</x:v>
      </x:c>
      <x:c r="D50" s="14" t="str">
        <x:v>internal/engine/evidence.go</x:v>
      </x:c>
      <x:c r="E50" s="15" t="n">
        <x:v>324</x:v>
      </x:c>
      <x:c r="F50" s="14" t="str">
        <x:v>Evidence was invalidated by changed build inputs or environment state.</x:v>
      </x:c>
      <x:c r="G50" s="14" t="str">
        <x:v>Names the loss of validity and scopes the rebuild.</x:v>
      </x:c>
      <x:c r="H50" s="14" t="str">
        <x:v>Copy only</x:v>
      </x:c>
      <x:c r="I50" s="14" t="str">
        <x:v>High</x:v>
      </x:c>
      <x:c r="J50" s="14" t="str">
        <x:v>Recommended</x:v>
      </x:c>
    </x:row>
    <x:row r="51" ht="60" customHeight="1">
      <x:c r="A51" s="16" t="str">
        <x:v>WF-046</x:v>
      </x:c>
      <x:c r="B51" s="16" t="str">
        <x:v>%s is changed, and no check of these files built it everywhere it's required; dockhand check builds it, or share the branch as a draft (--draft)</x:v>
      </x:c>
      <x:c r="C51" s="16" t="str">
        <x:v>%s has changed, but these files have not been checked in every required environment. Run dockhand check, or share the branch with --draft</x:v>
      </x:c>
      <x:c r="D51" s="16" t="str">
        <x:v>internal/engine/evidence.go</x:v>
      </x:c>
      <x:c r="E51" s="17" t="n">
        <x:v>326</x:v>
      </x:c>
      <x:c r="F51" s="16" t="str">
        <x:v>Required build coverage for a changed target is incomplete.</x:v>
      </x:c>
      <x:c r="G51" s="16" t="str">
        <x:v>Clarifies that some environments may already have passing results.</x:v>
      </x:c>
      <x:c r="H51" s="16" t="str">
        <x:v>Copy only</x:v>
      </x:c>
      <x:c r="I51" s="16" t="str">
        <x:v>High</x:v>
      </x:c>
      <x:c r="J51" s="16" t="str">
        <x:v>Recommended</x:v>
      </x:c>
    </x:row>
    <x:row r="52" ht="60" customHeight="1">
      <x:c r="A52" s="14" t="str">
        <x:v>WF-047</x:v>
      </x:c>
      <x:c r="B52" s="14" t="str">
        <x:v>%s did not pass in %s, and fails the same way at the base (%s), so not by this branch; --accept %s submits it, saying so, or fix it, or share it as a draft (--draft)</x:v>
      </x:c>
      <x:c r="C52" s="14" t="str">
        <x:v>%s failed in %s and has the same failure at the base (%s). Use --accept %s to submit with this existing failure disclosed, fix the failure, or share the branch with --draft</x:v>
      </x:c>
      <x:c r="D52" s="14" t="str">
        <x:v>internal/engine/evidence.go</x:v>
      </x:c>
      <x:c r="E52" s="15" t="n">
        <x:v>332</x:v>
      </x:c>
      <x:c r="F52" s="14" t="str">
        <x:v>A changed target failed in the same phase on the baseline.</x:v>
      </x:c>
      <x:c r="G52" s="14" t="str">
        <x:v>States what the baseline establishes and how acceptance is disclosed.</x:v>
      </x:c>
      <x:c r="H52" s="14" t="str">
        <x:v>Copy only</x:v>
      </x:c>
      <x:c r="I52" s="14" t="str">
        <x:v>High</x:v>
      </x:c>
      <x:c r="J52" s="14" t="str">
        <x:v>Recommended</x:v>
      </x:c>
    </x:row>
    <x:row r="53" ht="60" customHeight="1">
      <x:c r="A53" s="16" t="str">
        <x:v>WF-048</x:v>
      </x:c>
      <x:c r="B53" s="16" t="str">
        <x:v>--build %s: no profile of that name; dockhand's are host, minmax, macports-ci, and all, and yours go under [build.profiles] in %s</x:v>
      </x:c>
      <x:c r="C53" s="16" t="str">
        <x:v>--build %s: unknown build profile. Built-in profiles are host, minmax, macports-ci, and all. Define custom profiles under [build.profiles] in %s</x:v>
      </x:c>
      <x:c r="D53" s="16" t="str">
        <x:v>internal/engine/profile.go</x:v>
      </x:c>
      <x:c r="E53" s="17" t="n">
        <x:v>68</x:v>
      </x:c>
      <x:c r="F53" s="16" t="str">
        <x:v>Named build profile is unknown.</x:v>
      </x:c>
      <x:c r="G53" s="16" t="str">
        <x:v>Separates valid built-ins from custom configuration.</x:v>
      </x:c>
      <x:c r="H53" s="16" t="str">
        <x:v>Copy only</x:v>
      </x:c>
      <x:c r="I53" s="16" t="str">
        <x:v>Medium</x:v>
      </x:c>
      <x:c r="J53" s="16" t="str">
        <x:v>Recommended</x:v>
      </x:c>
    </x:row>
    <x:row r="54" ht="105" customHeight="1">
      <x:c r="A54" s="14" t="str">
        <x:v>WF-049</x:v>
      </x:c>
      <x:c r="B54" s="14" t="str">
        <x:v>build profile %s builds on Tart, which isn't installed here: MacPorts' tart port installs it, on Apple silicon; or --on github builds with MacPorts' own workflow in your fork, and --on command with your own script, set up as [providers.command]; a profile of your own under [build.profiles] in %s makes either the default, as {provider = "github"}</x:v>
      </x:c>
      <x:c r="C54" s="14" t="str">
        <x:v>build profile %s requires Tart, which is not installed. On Apple silicon, install it with sudo port install tart. Alternatively, use --on github to run the MacPorts workflow in your fork, or --on command with a script configured under [providers.command]. To make either provider the default, define a profile under [build.profiles] in %s, for example {provider = "github"}</x:v>
      </x:c>
      <x:c r="D54" s="14" t="str">
        <x:v>internal/engine/profile.go</x:v>
      </x:c>
      <x:c r="E54" s="15" t="n">
        <x:v>196</x:v>
      </x:c>
      <x:c r="F54" s="14" t="str">
        <x:v>Default build provider is unavailable and the error explains alternatives.</x:v>
      </x:c>
      <x:c r="G54" s="14" t="str">
        <x:v>Breaks a very long chain into installation, alternatives, and default configuration.</x:v>
      </x:c>
      <x:c r="H54" s="14" t="str">
        <x:v>Copy only</x:v>
      </x:c>
      <x:c r="I54" s="14" t="str">
        <x:v>High</x:v>
      </x:c>
      <x:c r="J54" s="14" t="str">
        <x:v>Recommended</x:v>
      </x:c>
    </x:row>
    <x:row r="55" ht="54" customHeight="1">
      <x:c r="A55" s="16" t="str">
        <x:v>WF-050</x:v>
      </x:c>
      <x:c r="B55" s="16" t="str">
        <x:v>--on %s: the prefix provider is not in v3 yet; use Tart or your own script (--on command) meanwhile</x:v>
      </x:c>
      <x:c r="C55" s="16" t="str">
        <x:v>--on %s: the prefix provider is not available in v3; use Tart or a custom build script with --on command</x:v>
      </x:c>
      <x:c r="D55" s="16" t="str">
        <x:v>internal/engine/provider.go</x:v>
      </x:c>
      <x:c r="E55" s="17" t="n">
        <x:v>57</x:v>
      </x:c>
      <x:c r="F55" s="16" t="str">
        <x:v>Removed/unimplemented provider requested.</x:v>
      </x:c>
      <x:c r="G55" s="16" t="str">
        <x:v>Avoids promising future availability and explains the alternative.</x:v>
      </x:c>
      <x:c r="H55" s="16" t="str">
        <x:v>Copy only</x:v>
      </x:c>
      <x:c r="I55" s="16" t="str">
        <x:v>Medium</x:v>
      </x:c>
      <x:c r="J55" s="16" t="str">
        <x:v>Recommended</x:v>
      </x:c>
    </x:row>
    <x:row r="56" ht="54" customHeight="1">
      <x:c r="A56" s="14" t="str">
        <x:v>WF-051</x:v>
      </x:c>
      <x:c r="B56" s="14" t="str">
        <x:v>%s was never made: dockhand stopped before its change, so there is nothing to restore</x:v>
      </x:c>
      <x:c r="C56" s="14" t="str">
        <x:v>%s was not applied because dockhand stopped before making changes; there is nothing to restore</x:v>
      </x:c>
      <x:c r="D56" s="14" t="str">
        <x:v>internal/engine/restore.go</x:v>
      </x:c>
      <x:c r="E56" s="15" t="n">
        <x:v>92</x:v>
      </x:c>
      <x:c r="F56" s="14" t="str">
        <x:v>Checkpoint is abandoned; operation made no changes.</x:v>
      </x:c>
      <x:c r="G56" s="14" t="str">
        <x:v>Uses the precise checkpoint state instead of implying no record exists.</x:v>
      </x:c>
      <x:c r="H56" s="14" t="str">
        <x:v>Copy only</x:v>
      </x:c>
      <x:c r="I56" s="14" t="str">
        <x:v>Medium</x:v>
      </x:c>
      <x:c r="J56" s="14" t="str">
        <x:v>Recommended</x:v>
      </x:c>
    </x:row>
    <x:row r="57" ht="54" customHeight="1">
      <x:c r="A57" s="16" t="str">
        <x:v>WF-052</x:v>
      </x:c>
      <x:c r="B57" s="16" t="str">
        <x:v>%s isn't finished: %s isn't checked out as a branch, so dockhand can't tell whether its change was made</x:v>
      </x:c>
      <x:c r="C57" s="16" t="str">
        <x:v>%s has an unresolved state: %s is not checked out, so dockhand cannot determine whether the operation was applied</x:v>
      </x:c>
      <x:c r="D57" s="16" t="str">
        <x:v>internal/engine/restore.go</x:v>
      </x:c>
      <x:c r="E57" s="17" t="n">
        <x:v>94</x:v>
      </x:c>
      <x:c r="F57" s="16" t="str">
        <x:v>Checkpoint never settled and branch is not checked out.</x:v>
      </x:c>
      <x:c r="G57" s="16" t="str">
        <x:v>Distinguishes uncertainty from a still-running operation.</x:v>
      </x:c>
      <x:c r="H57" s="16" t="str">
        <x:v>Copy only</x:v>
      </x:c>
      <x:c r="I57" s="16" t="str">
        <x:v>Medium</x:v>
      </x:c>
      <x:c r="J57" s="16" t="str">
        <x:v>Recommended</x:v>
      </x:c>
    </x:row>
    <x:row r="58" ht="60" customHeight="1">
      <x:c r="A58" s="14" t="str">
        <x:v>WF-053</x:v>
      </x:c>
      <x:c r="B58" s="14" t="str">
        <x:v>something was staged in %s since %s; restoring the index would replace it, so nothing was changed. Commit it, or set it aside (git stash), first</x:v>
      </x:c>
      <x:c r="C58" s="14" t="str">
        <x:v>%s has changes staged after %s. Restoring would overwrite them, so nothing was changed. Commit or stash those changes before restoring</x:v>
      </x:c>
      <x:c r="D58" s="14" t="str">
        <x:v>internal/engine/restore.go</x:v>
      </x:c>
      <x:c r="E58" s="15" t="n">
        <x:v>125</x:v>
      </x:c>
      <x:c r="F58" s="14" t="str">
        <x:v>Restoration would overwrite staged work.</x:v>
      </x:c>
      <x:c r="G58" s="14" t="str">
        <x:v>Names the protected work and recovery action.</x:v>
      </x:c>
      <x:c r="H58" s="14" t="str">
        <x:v>Copy only</x:v>
      </x:c>
      <x:c r="I58" s="14" t="str">
        <x:v>High</x:v>
      </x:c>
      <x:c r="J58" s="14" t="str">
        <x:v>Recommended</x:v>
      </x:c>
    </x:row>
    <x:row r="59" ht="54" customHeight="1">
      <x:c r="A59" s="16" t="str">
        <x:v>WF-054</x:v>
      </x:c>
      <x:c r="B59" s="16" t="str">
        <x:v>%s: %s: every target would build as it did in %s, and reuses that result, building nothing</x:v>
      </x:c>
      <x:c r="C59" s="16" t="str">
        <x:v>%s: %s: reusing results from %s for all targets because their build inputs are unchanged; no builds are needed</x:v>
      </x:c>
      <x:c r="D59" s="16" t="str">
        <x:v>internal/engine/reuse.go</x:v>
      </x:c>
      <x:c r="E59" s="17" t="n">
        <x:v>223</x:v>
      </x:c>
      <x:c r="F59" s="16" t="str">
        <x:v>All targets in an execution can reuse prior evidence.</x:v>
      </x:c>
      <x:c r="G59" s="16" t="str">
        <x:v>Explains why no build runs in familiar terms.</x:v>
      </x:c>
      <x:c r="H59" s="16" t="str">
        <x:v>Copy only</x:v>
      </x:c>
      <x:c r="I59" s="16" t="str">
        <x:v>Medium</x:v>
      </x:c>
      <x:c r="J59" s="16" t="str">
        <x:v>Recommended</x:v>
      </x:c>
    </x:row>
    <x:row r="60" ht="54" customHeight="1">
      <x:c r="A60" s="14" t="str">
        <x:v>WF-055</x:v>
      </x:c>
      <x:c r="B60" s="14" t="str">
        <x:v>%s: %s: %s would build as in %s, and reuse those results; the rest build</x:v>
      </x:c>
      <x:c r="C60" s="14" t="str">
        <x:v>%s: %s: reusing results for %s from %s because their build inputs are unchanged; building the remaining targets</x:v>
      </x:c>
      <x:c r="D60" s="14" t="str">
        <x:v>internal/engine/reuse.go</x:v>
      </x:c>
      <x:c r="E60" s="15" t="n">
        <x:v>243</x:v>
      </x:c>
      <x:c r="F60" s="14" t="str">
        <x:v>Some targets can reuse results and others must build.</x:v>
      </x:c>
      <x:c r="G60" s="14" t="str">
        <x:v>Clearly separates reused targets from targets still building.</x:v>
      </x:c>
      <x:c r="H60" s="14" t="str">
        <x:v>Copy only</x:v>
      </x:c>
      <x:c r="I60" s="14" t="str">
        <x:v>Medium</x:v>
      </x:c>
      <x:c r="J60" s="14" t="str">
        <x:v>Recommended</x:v>
      </x:c>
    </x:row>
    <x:row r="61" ht="60" customHeight="1">
      <x:c r="A61" s="16" t="str">
        <x:v>WF-056</x:v>
      </x:c>
      <x:c r="B61" s="16" t="str">
        <x:v>%s: the archive kept of %s, %s, is gone, so its record is dropped, and the guest gets it as MacPorts would, from its archives or a build</x:v>
      </x:c>
      <x:c r="C61" s="16" t="str">
        <x:v>%s: the saved archive for %s (%s) is missing. Removing its record; the build environment will use a MacPorts archive or build it from source</x:v>
      </x:c>
      <x:c r="D61" s="16" t="str">
        <x:v>internal/engine/reuse.go</x:v>
      </x:c>
      <x:c r="E61" s="17" t="n">
        <x:v>386</x:v>
      </x:c>
      <x:c r="F61" s="16" t="str">
        <x:v>A saved reusable binary archive no longer exists.</x:v>
      </x:c>
      <x:c r="G61" s="16" t="str">
        <x:v>Explains fallback behavior without a long clause chain.</x:v>
      </x:c>
      <x:c r="H61" s="16" t="str">
        <x:v>Copy only</x:v>
      </x:c>
      <x:c r="I61" s="16" t="str">
        <x:v>Medium</x:v>
      </x:c>
      <x:c r="J61" s="16" t="str">
        <x:v>Recommended</x:v>
      </x:c>
    </x:row>
    <x:row r="62" ht="60" customHeight="1">
      <x:c r="A62" s="14" t="str">
        <x:v>WF-057</x:v>
      </x:c>
      <x:c r="B62" s="14" t="str">
        <x:v>%s's git.branch %s named %s when %s planned it, and names %s now: the check built another source than this would submit</x:v>
      </x:c>
      <x:c r="C62" s="14" t="str">
        <x:v>%s: git.branch %s pointed to %s when %s was planned, but now points to %s. The checked source differs from the source this submission would use</x:v>
      </x:c>
      <x:c r="D62" s="14" t="str">
        <x:v>internal/engine/servesubmit.go</x:v>
      </x:c>
      <x:c r="E62" s="15" t="n">
        <x:v>201</x:v>
      </x:c>
      <x:c r="F62" s="14" t="str">
        <x:v>An upstream Git ref moved after the check was planned.</x:v>
      </x:c>
      <x:c r="G62" s="14" t="str">
        <x:v>Separates the commit comparison from its submission consequence.</x:v>
      </x:c>
      <x:c r="H62" s="14" t="str">
        <x:v>Copy only</x:v>
      </x:c>
      <x:c r="I62" s="14" t="str">
        <x:v>High</x:v>
      </x:c>
      <x:c r="J62" s="14" t="str">
        <x:v>Recommended</x:v>
      </x:c>
    </x:row>
    <x:row r="63" ht="60" customHeight="1">
      <x:c r="A63" s="16" t="str">
        <x:v>WF-058</x:v>
      </x:c>
      <x:c r="B63" s="16" t="str">
        <x:v>%s's git.branch %s named %s when its update chose it, and %s when %s planned it: the check built another source than the update chose</x:v>
      </x:c>
      <x:c r="C63" s="16" t="str">
        <x:v>%s: git.branch %s pointed to %s when the update was prepared, then to %s when %s was planned. The check used a different source from the update</x:v>
      </x:c>
      <x:c r="D63" s="16" t="str">
        <x:v>internal/engine/servesubmit.go</x:v>
      </x:c>
      <x:c r="E63" s="17" t="n">
        <x:v>245</x:v>
      </x:c>
      <x:c r="F63" s="16" t="str">
        <x:v>Release tag moved between preparing an update and checking it.</x:v>
      </x:c>
      <x:c r="G63" s="16" t="str">
        <x:v>Makes the two source snapshots clear.</x:v>
      </x:c>
      <x:c r="H63" s="16" t="str">
        <x:v>Copy only</x:v>
      </x:c>
      <x:c r="I63" s="16" t="str">
        <x:v>High</x:v>
      </x:c>
      <x:c r="J63" s="16" t="str">
        <x:v>Recommended</x:v>
      </x:c>
    </x:row>
    <x:row r="64" ht="54" customHeight="1">
      <x:c r="A64" s="14" t="str">
        <x:v>WF-059</x:v>
      </x:c>
      <x:c r="B64" s="14" t="str">
        <x:v>%s's assessment read %s, and %s planned %s: what upstream's change was judged of isn't the source the check built</x:v>
      </x:c>
      <x:c r="C64" s="14" t="str">
        <x:v>%s: the upstream assessment examined %s, but %s planned to build %s. The assessment and check refer to different source commits</x:v>
      </x:c>
      <x:c r="D64" s="14" t="str">
        <x:v>internal/engine/servesubmit.go</x:v>
      </x:c>
      <x:c r="E64" s="15" t="n">
        <x:v>272</x:v>
      </x:c>
      <x:c r="F64" s="14" t="str">
        <x:v>Assessment and check selected different Git source commits.</x:v>
      </x:c>
      <x:c r="G64" s="14" t="str">
        <x:v>Removes an opaque clause and names the mismatch.</x:v>
      </x:c>
      <x:c r="H64" s="14" t="str">
        <x:v>Copy only</x:v>
      </x:c>
      <x:c r="I64" s="14" t="str">
        <x:v>High</x:v>
      </x:c>
      <x:c r="J64" s="14" t="str">
        <x:v>Recommended</x:v>
      </x:c>
    </x:row>
    <x:row r="65" ht="54" customHeight="1">
      <x:c r="A65" s="16" t="str">
        <x:v>WF-060</x:v>
      </x:c>
      <x:c r="B65" s="16" t="str">
        <x:v>%s now builds on Darwin %d and later, where its platforms said %q: older Macs lose it, which holds for a look</x:v>
      </x:c>
      <x:c r="C65" s="16" t="str">
        <x:v>%s now requires Darwin %d or later; platforms was %q. This drops support for older Macs and requires review before automatic submission</x:v>
      </x:c>
      <x:c r="D65" s="16" t="str">
        <x:v>internal/engine/servesubmit.go</x:v>
      </x:c>
      <x:c r="E65" s="17" t="n">
        <x:v>445</x:v>
      </x:c>
      <x:c r="F65" s="16" t="str">
        <x:v>Update raises the minimum Darwin platform version.</x:v>
      </x:c>
      <x:c r="G65" s="16" t="str">
        <x:v>States the compatibility impact and why submission is held.</x:v>
      </x:c>
      <x:c r="H65" s="16" t="str">
        <x:v>Copy only</x:v>
      </x:c>
      <x:c r="I65" s="16" t="str">
        <x:v>High</x:v>
      </x:c>
      <x:c r="J65" s="16" t="str">
        <x:v>Recommended</x:v>
      </x:c>
    </x:row>
    <x:row r="66" ht="60" customHeight="1">
      <x:c r="A66" s="14" t="str">
        <x:v>WF-061</x:v>
      </x:c>
      <x:c r="B66" s="14" t="str">
        <x:v>%s raises macosx_deployment_target from %s to %s: older Macs may not run what it builds, which holds for a look</x:v>
      </x:c>
      <x:c r="C66" s="14" t="str">
        <x:v>%s raises macosx_deployment_target from %s to %s. Built binaries may no longer run on older Macs; review is required before automatic submission</x:v>
      </x:c>
      <x:c r="D66" s="14" t="str">
        <x:v>internal/engine/servesubmit.go</x:v>
      </x:c>
      <x:c r="E66" s="15" t="n">
        <x:v>453</x:v>
      </x:c>
      <x:c r="F66" s="14" t="str">
        <x:v>Update raises the binary deployment target.</x:v>
      </x:c>
      <x:c r="G66" s="14" t="str">
        <x:v>Clarifies that the risk concerns running binaries on older systems.</x:v>
      </x:c>
      <x:c r="H66" s="14" t="str">
        <x:v>Copy only</x:v>
      </x:c>
      <x:c r="I66" s="14" t="str">
        <x:v>High</x:v>
      </x:c>
      <x:c r="J66" s="14" t="str">
        <x:v>Recommended</x:v>
      </x:c>
    </x:row>
    <x:row r="67" ht="54" customHeight="1">
      <x:c r="A67" s="16" t="str">
        <x:v>WF-062</x:v>
      </x:c>
      <x:c r="B67" s="16" t="str">
        <x:v>%s moves from %s to %s, a new major version, which holds.majors holds for a look</x:v>
      </x:c>
      <x:c r="C67" s="16" t="str">
        <x:v>%s moves from %s to %s, a major version update. holds.majors requires review before an unattended update</x:v>
      </x:c>
      <x:c r="D67" s="16" t="str">
        <x:v>internal/engine/servesubmit.go</x:v>
      </x:c>
      <x:c r="E67" s="17" t="n">
        <x:v>472</x:v>
      </x:c>
      <x:c r="F67" s="16" t="str">
        <x:v>Major version hold blocks an unattended update before edits.</x:v>
      </x:c>
      <x:c r="G67" s="16" t="str">
        <x:v>Explains the configuration rule without repeated “holds”.</x:v>
      </x:c>
      <x:c r="H67" s="16" t="str">
        <x:v>Copy only</x:v>
      </x:c>
      <x:c r="I67" s="16" t="str">
        <x:v>High</x:v>
      </x:c>
      <x:c r="J67" s="16" t="str">
        <x:v>Recommended</x:v>
      </x:c>
    </x:row>
    <x:row r="68" ht="54" customHeight="1">
      <x:c r="A68" s="14" t="str">
        <x:v>WF-063</x:v>
      </x:c>
      <x:c r="B68" s="14" t="str">
        <x:v>--accept acknowledges a check's failure, and --no-check has none</x:v>
      </x:c>
      <x:c r="C68" s="14" t="str">
        <x:v>--accept requires a failed check and cannot be combined with --no-check</x:v>
      </x:c>
      <x:c r="D68" s="14" t="str">
        <x:v>internal/engine/submit.go</x:v>
      </x:c>
      <x:c r="E68" s="15" t="n">
        <x:v>422</x:v>
      </x:c>
      <x:c r="F68" s="14" t="str">
        <x:v>Conflicting submission options.</x:v>
      </x:c>
      <x:c r="G68" s="14" t="str">
        <x:v>States the option dependency directly.</x:v>
      </x:c>
      <x:c r="H68" s="14" t="str">
        <x:v>Copy only</x:v>
      </x:c>
      <x:c r="I68" s="14" t="str">
        <x:v>Medium</x:v>
      </x:c>
      <x:c r="J68" s="14" t="str">
        <x:v>Recommended</x:v>
      </x:c>
    </x:row>
    <x:row r="69" ht="54" customHeight="1">
      <x:c r="A69" s="16" t="str">
        <x:v>WF-064</x:v>
      </x:c>
      <x:c r="B69" s="16" t="str">
        <x:v>%s, of this commit's files, is %s; dockhand wait %s, then submit, or submit a draft with --draft</x:v>
      </x:c>
      <x:c r="C69" s="16" t="str">
        <x:v>%s checks this commit’s files and is %s. Run dockhand wait %s, then submit; or use --draft to submit now</x:v>
      </x:c>
      <x:c r="D69" s="16" t="str">
        <x:v>internal/engine/submit.go</x:v>
      </x:c>
      <x:c r="E69" s="17" t="n">
        <x:v>453</x:v>
      </x:c>
      <x:c r="F69" s="16" t="str">
        <x:v>A matching check is queued or running.</x:v>
      </x:c>
      <x:c r="G69" s="16" t="str">
        <x:v>Clearly distinguishes waiting for evidence from submitting a draft.</x:v>
      </x:c>
      <x:c r="H69" s="16" t="str">
        <x:v>Copy only</x:v>
      </x:c>
      <x:c r="I69" s="16" t="str">
        <x:v>High</x:v>
      </x:c>
      <x:c r="J69" s="16" t="str">
        <x:v>Recommended</x:v>
      </x:c>
    </x:row>
    <x:row r="70" ht="75" customHeight="1">
      <x:c r="A70" s="14" t="str">
        <x:v>WF-065</x:v>
      </x:c>
      <x:c r="B70" s="14" t="str">
        <x:v>no check has finished for this commit's files; dockhand check reuses %s's builds where a port reads the same files, building only what changed. Or submit a draft with --draft, or without a check with --no-check, which the pull request states</x:v>
      </x:c>
      <x:c r="C70" s="14" t="str">
        <x:v>no completed check covers this commit’s files. Run dockhand check; it reuses eligible builds from %s and builds only what changed. Alternatively, use --draft or --no-check; --no-check is disclosed in the pull request</x:v>
      </x:c>
      <x:c r="D70" s="14" t="str">
        <x:v>internal/engine/submit.go</x:v>
      </x:c>
      <x:c r="E70" s="15" t="n">
        <x:v>461</x:v>
      </x:c>
      <x:c r="F70" s="14" t="str">
        <x:v>No matching check exists, but an earlier passed check may be reused.</x:v>
      </x:c>
      <x:c r="G70" s="14" t="str">
        <x:v>Leads with the normal recovery and preserves the alternatives and disclosure.</x:v>
      </x:c>
      <x:c r="H70" s="14" t="str">
        <x:v>Copy only</x:v>
      </x:c>
      <x:c r="I70" s="14" t="str">
        <x:v>High</x:v>
      </x:c>
      <x:c r="J70" s="14" t="str">
        <x:v>Recommended</x:v>
      </x:c>
    </x:row>
    <x:row r="71" ht="54" customHeight="1">
      <x:c r="A71" s="16" t="str">
        <x:v>WF-066</x:v>
      </x:c>
      <x:c r="B71" s="16" t="str">
        <x:v>the branch changed since submit looked</x:v>
      </x:c>
      <x:c r="C71" s="16" t="str">
        <x:v>the branch changed after the submission was prepared</x:v>
      </x:c>
      <x:c r="D71" s="16" t="str">
        <x:v>internal/engine/submit.go</x:v>
      </x:c>
      <x:c r="E71" s="17" t="n">
        <x:v>744</x:v>
      </x:c>
      <x:c r="F71" s="16" t="str">
        <x:v>Sentinel stale-submission error.</x:v>
      </x:c>
      <x:c r="G71" s="16" t="str">
        <x:v>Uses a concrete point in the workflow instead of “looked”.</x:v>
      </x:c>
      <x:c r="H71" s="16" t="str">
        <x:v>Copy only</x:v>
      </x:c>
      <x:c r="I71" s="16" t="str">
        <x:v>Medium</x:v>
      </x:c>
      <x:c r="J71" s="16" t="str">
        <x:v>Recommended</x:v>
      </x:c>
    </x:row>
    <x:row r="72" ht="54" customHeight="1">
      <x:c r="A72" s="14" t="str">
        <x:v>WF-067</x:v>
      </x:c>
      <x:c r="B72" s="14" t="str">
        <x:v>pushed %s to %s, but the pull request was not written: %w; dockhand submit again finishes it</x:v>
      </x:c>
      <x:c r="C72" s="14" t="str">
        <x:v>pushed %s to %s, but could not create or update the pull request: %w; run dockhand submit again to finish</x:v>
      </x:c>
      <x:c r="D72" s="14" t="str">
        <x:v>internal/engine/submit.go</x:v>
      </x:c>
      <x:c r="E72" s="15" t="n">
        <x:v>795</x:v>
      </x:c>
      <x:c r="F72" s="14" t="str">
        <x:v>Push succeeded, then GitHub pull request write failed.</x:v>
      </x:c>
      <x:c r="G72" s="14" t="str">
        <x:v>Clearly identifies partial success and retry behavior.</x:v>
      </x:c>
      <x:c r="H72" s="14" t="str">
        <x:v>Copy only</x:v>
      </x:c>
      <x:c r="I72" s="14" t="str">
        <x:v>High</x:v>
      </x:c>
      <x:c r="J72" s="14" t="str">
        <x:v>Recommended</x:v>
      </x:c>
    </x:row>
    <x:row r="73" ht="54" customHeight="1">
      <x:c r="A73" s="16" t="str">
        <x:v>WF-068</x:v>
      </x:c>
      <x:c r="B73" s="16" t="str">
        <x:v>#%d is open with %s, but recording it failed: %w; dockhand submit again finds it and records it</x:v>
      </x:c>
      <x:c r="C73" s="16" t="str">
        <x:v>pull request #%d is open with commit %s, but dockhand could not save its record: %w; run dockhand submit again to find and record it</x:v>
      </x:c>
      <x:c r="D73" s="16" t="str">
        <x:v>internal/engine/submit.go</x:v>
      </x:c>
      <x:c r="E73" s="17" t="n">
        <x:v>848</x:v>
      </x:c>
      <x:c r="F73" s="16" t="str">
        <x:v>Remote submission succeeded but local database update failed.</x:v>
      </x:c>
      <x:c r="G73" s="16" t="str">
        <x:v>Distinguishes a local recording failure from a publication failure.</x:v>
      </x:c>
      <x:c r="H73" s="16" t="str">
        <x:v>Copy only</x:v>
      </x:c>
      <x:c r="I73" s="16" t="str">
        <x:v>High</x:v>
      </x:c>
      <x:c r="J73" s="16" t="str">
        <x:v>Recommended</x:v>
      </x:c>
    </x:row>
    <x:row r="74" ht="54" customHeight="1">
      <x:c r="A74" s="14" t="str">
        <x:v>WF-069</x:v>
      </x:c>
      <x:c r="B74" s="14" t="str">
        <x:v>the edit needs a look before it is committed: dockhand tidy --branch %s</x:v>
      </x:c>
      <x:c r="C74" s="14" t="str">
        <x:v>review the commit plan before committing: run dockhand tidy --branch %s</x:v>
      </x:c>
      <x:c r="D74" s="14" t="str">
        <x:v>internal/engine/tidy.go</x:v>
      </x:c>
      <x:c r="E74" s="15" t="n">
        <x:v>136</x:v>
      </x:c>
      <x:c r="F74" s="14" t="str">
        <x:v>Ship could not infer an unambiguous tidy plan.</x:v>
      </x:c>
      <x:c r="G74" s="14" t="str">
        <x:v>Names what must be reviewed and how to open it.</x:v>
      </x:c>
      <x:c r="H74" s="14" t="str">
        <x:v>Copy only</x:v>
      </x:c>
      <x:c r="I74" s="14" t="str">
        <x:v>High</x:v>
      </x:c>
      <x:c r="J74" s="14" t="str">
        <x:v>Recommended</x:v>
      </x:c>
    </x:row>
    <x:row r="75" ht="60" customHeight="1">
      <x:c r="A75" s="16" t="str">
        <x:v>WF-070</x:v>
      </x:c>
      <x:c r="B75" s="16" t="str">
        <x:v>this plan needs review before it is applied: review it on a terminal, apply it as shown with --yes, or make one commit with --squash --message "port: what changed"</x:v>
      </x:c>
      <x:c r="C75" s="16" t="str">
        <x:v>review this plan in an interactive terminal before applying it, or approve the displayed plan with --yes. To combine the changes into one commit, use --squash --message "port: what changed"</x:v>
      </x:c>
      <x:c r="D75" s="16" t="str">
        <x:v>internal/engine/tidy.go</x:v>
      </x:c>
      <x:c r="E75" s="17" t="n">
        <x:v>149</x:v>
      </x:c>
      <x:c r="F75" s="16" t="str">
        <x:v>Tidy plan cannot be applied without explicit approval.</x:v>
      </x:c>
      <x:c r="G75" s="16" t="str">
        <x:v>Separates approval choices from the optional squash choice.</x:v>
      </x:c>
      <x:c r="H75" s="16" t="str">
        <x:v>Copy only</x:v>
      </x:c>
      <x:c r="I75" s="16" t="str">
        <x:v>High</x:v>
      </x:c>
      <x:c r="J75" s="16" t="str">
        <x:v>Recommended</x:v>
      </x:c>
    </x:row>
    <x:row r="76" ht="54" customHeight="1">
      <x:c r="A76" s="14" t="str">
        <x:v>WF-071</x:v>
      </x:c>
      <x:c r="B76" s="14" t="str">
        <x:v>%s is not above its base %s; rebase it onto master first</x:v>
      </x:c>
      <x:c r="C76" s="14" t="str">
        <x:v>%s does not descend from its recorded base %s; rebase it onto master first</x:v>
      </x:c>
      <x:c r="D76" s="14" t="str">
        <x:v>internal/engine/tidy.go</x:v>
      </x:c>
      <x:c r="E76" s="15" t="n">
        <x:v>188</x:v>
      </x:c>
      <x:c r="F76" s="14" t="str">
        <x:v>Tidy requires the recorded base to be an ancestor.</x:v>
      </x:c>
      <x:c r="G76" s="14" t="str">
        <x:v>Replaces ambiguous “above” with the actual ancestry requirement.</x:v>
      </x:c>
      <x:c r="H76" s="14" t="str">
        <x:v>Copy only</x:v>
      </x:c>
      <x:c r="I76" s="14" t="str">
        <x:v>Medium</x:v>
      </x:c>
      <x:c r="J76" s="14" t="str">
        <x:v>Recommended</x:v>
      </x:c>
    </x:row>
    <x:row r="77" ht="54" customHeight="1">
      <x:c r="A77" s="16" t="str">
        <x:v>WF-072</x:v>
      </x:c>
      <x:c r="B77" s="16" t="str">
        <x:v>the commits are made, but resetting the index failed: %w; git reset brings it in line</x:v>
      </x:c>
      <x:c r="C77" s="16" t="str">
        <x:v>commits were created, but the staging area could not be reset: %w; run git reset to align it with the new commits</x:v>
      </x:c>
      <x:c r="D77" s="16" t="str">
        <x:v>internal/engine/tidy.go</x:v>
      </x:c>
      <x:c r="E77" s="17" t="n">
        <x:v>938</x:v>
      </x:c>
      <x:c r="F77" s="16" t="str">
        <x:v>Tidy created commits but failed to update Git index.</x:v>
      </x:c>
      <x:c r="G77" s="16" t="str">
        <x:v>Clarifies partial success and the recovery command.</x:v>
      </x:c>
      <x:c r="H77" s="16" t="str">
        <x:v>Copy only</x:v>
      </x:c>
      <x:c r="I77" s="16" t="str">
        <x:v>High</x:v>
      </x:c>
      <x:c r="J77" s="16" t="str">
        <x:v>Recommended</x:v>
      </x:c>
    </x:row>
  </x:sheetData>
  <x:conditionalFormatting sqref="I6:I77">
    <x:cfRule type="containsText" dxfId="2" priority="1" operator="containsText" text="High"/>
  </x:conditionalFormatting>
  <x:conditionalFormatting sqref="J6:J77">
    <x:cfRule type="containsText" dxfId="3" priority="2" operator="containsText" text="Alternative"/>
  </x:conditionalFormatting>
  <x:pageMargins left="0.7" right="0.7" top="0.75" bottom="0.75" header="0.3" footer="0.3"/>
  <x:tableParts count="1">
    <x:tablePart xmlns:r="http://schemas.openxmlformats.org/officeDocument/2006/relationships" r:id="Redd075575d264953"/>
  </x:tableParts>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1" hidden="0" customWidth="1"/>
    <x:col min="2" max="2" width="72" hidden="0" customWidth="1"/>
    <x:col min="3" max="3" width="72" hidden="0" customWidth="1"/>
    <x:col min="4" max="4" width="49" hidden="0" customWidth="1"/>
    <x:col min="5" max="5" width="8" hidden="0" customWidth="1"/>
    <x:col min="6" max="6" width="51" hidden="0" customWidth="1"/>
    <x:col min="7" max="7" width="51" hidden="0" customWidth="1"/>
    <x:col min="8" max="8" width="57" hidden="0" customWidth="1"/>
    <x:col min="9" max="9" width="12" hidden="0" customWidth="1"/>
    <x:col min="10" max="10" width="18" hidden="0" customWidth="1"/>
  </x:cols>
  <x:sheetData>
    <x:row r="1">
      <x:c r="A1" s="1"/>
      <x:c r="B1" s="1"/>
      <x:c r="C1" s="1"/>
      <x:c r="D1" s="1"/>
      <x:c r="E1" s="1"/>
      <x:c r="F1" s="1"/>
      <x:c r="G1" s="1"/>
      <x:c r="H1" s="1"/>
      <x:c r="I1" s="1"/>
      <x:c r="J1" s="1"/>
    </x:row>
    <x:row r="2" ht="30" customHeight="1">
      <x:c r="A2" s="1"/>
      <x:c r="B2" s="2" t="str">
        <x:v>Service messages</x:v>
      </x:c>
      <x:c r="C2" s="1"/>
      <x:c r="D2" s="1"/>
      <x:c r="E2" s="1"/>
      <x:c r="F2" s="1"/>
      <x:c r="G2" s="1"/>
      <x:c r="H2" s="1"/>
      <x:c r="I2" s="1"/>
      <x:c r="J2" s="1"/>
    </x:row>
    <x:row r="3">
      <x:c r="A3" s="3"/>
      <x:c r="B3" s="11" t="str">
        <x:v>15 proposals. Source files are relative to ~/Source/dockhand2.</x:v>
      </x:c>
      <x:c r="C3" s="3"/>
      <x:c r="D3" s="3"/>
      <x:c r="E3" s="3"/>
      <x:c r="F3" s="3"/>
      <x:c r="G3" s="3"/>
      <x:c r="H3" s="3"/>
      <x:c r="I3" s="3"/>
      <x:c r="J3" s="3"/>
    </x:row>
    <x:row r="4">
      <x:c r="A4" s="1"/>
      <x:c r="B4" s="1"/>
      <x:c r="C4" s="1"/>
      <x:c r="D4" s="1"/>
      <x:c r="E4" s="1"/>
      <x:c r="F4" s="1"/>
      <x:c r="G4" s="1"/>
      <x:c r="H4" s="1"/>
      <x:c r="I4" s="1"/>
      <x:c r="J4" s="1"/>
    </x:row>
    <x:row r="5" ht="30" customHeight="1">
      <x:c r="A5" s="12" t="str">
        <x:v>ID</x:v>
      </x:c>
      <x:c r="B5" s="12" t="str">
        <x:v>Current message</x:v>
      </x:c>
      <x:c r="C5" s="12" t="str">
        <x:v>Proposed message</x:v>
      </x:c>
      <x:c r="D5" s="12" t="str">
        <x:v>File</x:v>
      </x:c>
      <x:c r="E5" s="12" t="str">
        <x:v>Line</x:v>
      </x:c>
      <x:c r="F5" s="12" t="str">
        <x:v>Context</x:v>
      </x:c>
      <x:c r="G5" s="12" t="str">
        <x:v>Why change it</x:v>
      </x:c>
      <x:c r="H5" s="12" t="str">
        <x:v>Implementation notes</x:v>
      </x:c>
      <x:c r="I5" s="12" t="str">
        <x:v>Priority</x:v>
      </x:c>
      <x:c r="J5" s="12" t="str">
        <x:v>Proposal</x:v>
      </x:c>
    </x:row>
    <x:row r="6" ht="54" customHeight="1">
      <x:c r="A6" s="14" t="str">
        <x:v>SV-001</x:v>
      </x:c>
      <x:c r="B6" s="14" t="str">
        <x:v>serve: standing by; serve (pid %d) leads</x:v>
      </x:c>
      <x:c r="C6" s="14" t="str">
        <x:v>serve: standing by; another instance (pid %d) is running the queue</x:v>
      </x:c>
      <x:c r="D6" s="14" t="str">
        <x:v>internal/engine/serve.go</x:v>
      </x:c>
      <x:c r="E6" s="15" t="n">
        <x:v>192</x:v>
      </x:c>
      <x:c r="F6" s="14" t="str">
        <x:v>Another server holds the leadership lease.</x:v>
      </x:c>
      <x:c r="G6" s="14" t="str">
        <x:v>Explains leader/standby behavior without repeated command names.</x:v>
      </x:c>
      <x:c r="H6" s="14" t="str">
        <x:v>Copy only</x:v>
      </x:c>
      <x:c r="I6" s="14" t="str">
        <x:v>Medium</x:v>
      </x:c>
      <x:c r="J6" s="14" t="str">
        <x:v>Recommended</x:v>
      </x:c>
    </x:row>
    <x:row r="7" ht="54" customHeight="1">
      <x:c r="A7" s="16" t="str">
        <x:v>SV-002</x:v>
      </x:c>
      <x:c r="B7" s="16" t="str">
        <x:v>%s: left running for the next serve</x:v>
      </x:c>
      <x:c r="C7" s="16" t="str">
        <x:v>%s: unfinished; the next serve instance will resume it</x:v>
      </x:c>
      <x:c r="D7" s="16" t="str">
        <x:v>internal/engine/serve.go</x:v>
      </x:c>
      <x:c r="E7" s="17" t="n">
        <x:v>310</x:v>
      </x:c>
      <x:c r="F7" s="16" t="str">
        <x:v>Serve stops before an active check reaches a terminal state; completed work is retained.</x:v>
      </x:c>
      <x:c r="G7" s="16" t="str">
        <x:v>Makes the unfinished state clear without implying that externally running work has stopped.</x:v>
      </x:c>
      <x:c r="H7" s="16" t="str">
        <x:v>Copy only</x:v>
      </x:c>
      <x:c r="I7" s="16" t="str">
        <x:v>High</x:v>
      </x:c>
      <x:c r="J7" s="16" t="str">
        <x:v>Recommended</x:v>
      </x:c>
    </x:row>
    <x:row r="8" ht="54" customHeight="1">
      <x:c r="A8" s="14" t="str">
        <x:v>SV-003</x:v>
      </x:c>
      <x:c r="B8" s="14" t="str">
        <x:v>serve: dockhand was upgraded; stopping once its checks end, so launchd starts the new build</x:v>
      </x:c>
      <x:c r="C8" s="14" t="str">
        <x:v>serve: upgrade detected; waiting for active checks to finish before exiting so launchd can start the new version</x:v>
      </x:c>
      <x:c r="D8" s="14" t="str">
        <x:v>internal/engine/serve.go</x:v>
      </x:c>
      <x:c r="E8" s="15" t="n">
        <x:v>333</x:v>
      </x:c>
      <x:c r="F8" s="14" t="str">
        <x:v>Installed executable was replaced during serve.</x:v>
      </x:c>
      <x:c r="G8" s="14" t="str">
        <x:v>Makes the order of shutdown and restart clear.</x:v>
      </x:c>
      <x:c r="H8" s="14" t="str">
        <x:v>Copy only</x:v>
      </x:c>
      <x:c r="I8" s="14" t="str">
        <x:v>Medium</x:v>
      </x:c>
      <x:c r="J8" s="14" t="str">
        <x:v>Recommended</x:v>
      </x:c>
    </x:row>
    <x:row r="9" ht="54" customHeight="1">
      <x:c r="A9" s="16" t="str">
        <x:v>SV-004</x:v>
      </x:c>
      <x:c r="B9" s="16" t="str">
        <x:v>serve: %s open, which this drain leaves unwatched: %s; dockhand serve follows them</x:v>
      </x:c>
      <x:c r="C9" s="16" t="str">
        <x:v>serve: %s remain open: %s. Monitoring stops when --drain exits; run dockhand serve to keep monitoring them</x:v>
      </x:c>
      <x:c r="D9" s="16" t="str">
        <x:v>internal/engine/serve.go</x:v>
      </x:c>
      <x:c r="E9" s="17" t="n">
        <x:v>423</x:v>
      </x:c>
      <x:c r="F9" s="16" t="str">
        <x:v>Drain completed while tracked pull requests remain open.</x:v>
      </x:c>
      <x:c r="G9" s="16" t="str">
        <x:v>Explains the consequence of drain ending.</x:v>
      </x:c>
      <x:c r="H9" s="16" t="str">
        <x:v>Copy only</x:v>
      </x:c>
      <x:c r="I9" s="16" t="str">
        <x:v>High</x:v>
      </x:c>
      <x:c r="J9" s="16" t="str">
        <x:v>Recommended</x:v>
      </x:c>
    </x:row>
    <x:row r="10" ht="60" customHeight="1">
      <x:c r="A10" s="14" t="str">
        <x:v>SV-005</x:v>
      </x:c>
      <x:c r="B10" s="14" t="str">
        <x:v>serve: no GitHub login now; it reads pull requests without one, and opens, pushes, and checks on GitHub nothing until dockhand setup github logs in</x:v>
      </x:c>
      <x:c r="C10" s="14" t="str">
        <x:v>serve: no GitHub credentials are available. Pull requests will be read anonymously; submissions, pushes, and GitHub checks are paused. Run dockhand setup github to sign in</x:v>
      </x:c>
      <x:c r="D10" s="14" t="str">
        <x:v>internal/engine/serve.go</x:v>
      </x:c>
      <x:c r="E10" s="15" t="n">
        <x:v>516</x:v>
      </x:c>
      <x:c r="F10" s="14" t="str">
        <x:v>Credentials disappeared while serve was running.</x:v>
      </x:c>
      <x:c r="G10" s="14" t="str">
        <x:v>Replaces a tangled negative clause with specific affected operations.</x:v>
      </x:c>
      <x:c r="H10" s="14" t="str">
        <x:v>Copy only</x:v>
      </x:c>
      <x:c r="I10" s="14" t="str">
        <x:v>High</x:v>
      </x:c>
      <x:c r="J10" s="14" t="str">
        <x:v>Recommended</x:v>
      </x:c>
    </x:row>
    <x:row r="11" ht="60" customHeight="1">
      <x:c r="A11" s="16" t="str">
        <x:v>SV-006</x:v>
      </x:c>
      <x:c r="B11" s="16" t="str">
        <x:v>serve: the GitHub login is now %s's, where serve started as %s's; it acts on GitHub as no one until %s logs in again, or serve is restarted</x:v>
      </x:c>
      <x:c r="C11" s="16" t="str">
        <x:v>serve: GitHub is now signed in as %s; serve started as %s. GitHub writes are paused. Sign in as %s again, or restart serve to use the current account</x:v>
      </x:c>
      <x:c r="D11" s="16" t="str">
        <x:v>internal/engine/serve.go</x:v>
      </x:c>
      <x:c r="E11" s="17" t="n">
        <x:v>518</x:v>
      </x:c>
      <x:c r="F11" s="16" t="str">
        <x:v>GitHub credentials now belong to a different account.</x:v>
      </x:c>
      <x:c r="G11" s="16" t="str">
        <x:v>Explains the account mismatch and recovery choices while allowing for continued anonymous reads.</x:v>
      </x:c>
      <x:c r="H11" s="16" t="str">
        <x:v>Copy only</x:v>
      </x:c>
      <x:c r="I11" s="16" t="str">
        <x:v>High</x:v>
      </x:c>
      <x:c r="J11" s="16" t="str">
        <x:v>Recommended</x:v>
      </x:c>
    </x:row>
    <x:row r="12" ht="54" customHeight="1">
      <x:c r="A12" s="14" t="str">
        <x:v>SV-007</x:v>
      </x:c>
      <x:c r="B12" s="14" t="str">
        <x:v>serve: GitHub rejected its login, as once it's revoked; it acts on GitHub as no one until dockhand setup github logs in again</x:v>
      </x:c>
      <x:c r="C12" s="14" t="str">
        <x:v>serve: GitHub rejected the credentials. GitHub writes are paused; run dockhand setup github to sign in again</x:v>
      </x:c>
      <x:c r="D12" s="14" t="str">
        <x:v>internal/engine/serve.go</x:v>
      </x:c>
      <x:c r="E12" s="15" t="n">
        <x:v>520</x:v>
      </x:c>
      <x:c r="F12" s="14" t="str">
        <x:v>GitHub reports authentication failure.</x:v>
      </x:c>
      <x:c r="G12" s="14" t="str">
        <x:v>Avoids speculating about revocation and distinguishes paused writes from anonymous reads.</x:v>
      </x:c>
      <x:c r="H12" s="14" t="str">
        <x:v>Copy only</x:v>
      </x:c>
      <x:c r="I12" s="14" t="str">
        <x:v>High</x:v>
      </x:c>
      <x:c r="J12" s="14" t="str">
        <x:v>Recommended</x:v>
      </x:c>
    </x:row>
    <x:row r="13" ht="54" customHeight="1">
      <x:c r="A13" s="16" t="str">
        <x:v>SV-008</x:v>
      </x:c>
      <x:c r="B13" s="16" t="str">
        <x:v>serve: couldn't read who its GitHub login is (%s); it goes on as it was, and reads it again each minute</x:v>
      </x:c>
      <x:c r="C13" s="16" t="str">
        <x:v>serve: could not verify the GitHub account (%s). Continuing with the current authentication state; retrying each minute</x:v>
      </x:c>
      <x:c r="D13" s="16" t="str">
        <x:v>internal/engine/serve.go</x:v>
      </x:c>
      <x:c r="E13" s="17" t="n">
        <x:v>548</x:v>
      </x:c>
      <x:c r="F13" s="16" t="str">
        <x:v>Identity check failed transiently; existing gate state is preserved.</x:v>
      </x:c>
      <x:c r="G13" s="16" t="str">
        <x:v>Names exactly what is retained and retried.</x:v>
      </x:c>
      <x:c r="H13" s="16" t="str">
        <x:v>Copy only</x:v>
      </x:c>
      <x:c r="I13" s="16" t="str">
        <x:v>Medium</x:v>
      </x:c>
      <x:c r="J13" s="16" t="str">
        <x:v>Recommended</x:v>
      </x:c>
    </x:row>
    <x:row r="14" ht="60" customHeight="1">
      <x:c r="A14" s="14" t="str">
        <x:v>SV-009</x:v>
      </x:c>
      <x:c r="B14" s="14" t="str">
        <x:v>serve: dockhand's GitHub login can't renew itself, so pull requests can't be read; run dockhand setup github, which serve uses without a restart</x:v>
      </x:c>
      <x:c r="C14" s="14" t="str">
        <x:v>serve: GitHub credentials could not be renewed, so pull request refresh is paused. Run dockhand setup github to sign in again; serve will use the new credentials automatically</x:v>
      </x:c>
      <x:c r="D14" s="14" t="str">
        <x:v>internal/engine/serve.go</x:v>
      </x:c>
      <x:c r="E14" s="15" t="n">
        <x:v>601</x:v>
      </x:c>
      <x:c r="F14" s="14" t="str">
        <x:v>OAuth refresh token is no longer usable.</x:v>
      </x:c>
      <x:c r="G14" s="14" t="str">
        <x:v>Explains impact, action, and recovery without a restart.</x:v>
      </x:c>
      <x:c r="H14" s="14" t="str">
        <x:v>Copy only</x:v>
      </x:c>
      <x:c r="I14" s="14" t="str">
        <x:v>High</x:v>
      </x:c>
      <x:c r="J14" s="14" t="str">
        <x:v>Recommended</x:v>
      </x:c>
    </x:row>
    <x:row r="15" ht="54" customHeight="1">
      <x:c r="A15" s="16" t="str">
        <x:v>SV-010</x:v>
      </x:c>
      <x:c r="B15" s="16" t="str">
        <x:v>dockhand's GitHub login can't renew itself; run dockhand setup github</x:v>
      </x:c>
      <x:c r="C15" s="16" t="str">
        <x:v>GitHub sign-in needs attention. Run dockhand setup github to sign in again.</x:v>
      </x:c>
      <x:c r="D15" s="16" t="str">
        <x:v>internal/engine/serve.go</x:v>
      </x:c>
      <x:c r="E15" s="17" t="n">
        <x:v>603</x:v>
      </x:c>
      <x:c r="F15" s="16" t="str">
        <x:v>macOS notification for an ended OAuth login.</x:v>
      </x:c>
      <x:c r="G15" s="16" t="str">
        <x:v>Uses a short notification-friendly action message.</x:v>
      </x:c>
      <x:c r="H15" s="16" t="str">
        <x:v>Copy only</x:v>
      </x:c>
      <x:c r="I15" s="16" t="str">
        <x:v>High</x:v>
      </x:c>
      <x:c r="J15" s="16" t="str">
        <x:v>Recommended</x:v>
      </x:c>
    </x:row>
    <x:row r="16" ht="54" customHeight="1">
      <x:c r="A16" s="14" t="str">
        <x:v>SV-011</x:v>
      </x:c>
      <x:c r="B16" s="14" t="str">
        <x:v>dockhand's GitHub login can't renew itself; run dockhand setup github</x:v>
      </x:c>
      <x:c r="C16" s="14" t="str">
        <x:v>GitHub login expired or cannot be renewed. Sign in again: dockhand setup github</x:v>
      </x:c>
      <x:c r="D16" s="14" t="str">
        <x:v>internal/engine/serve.go</x:v>
      </x:c>
      <x:c r="E16" s="15" t="n">
        <x:v>603</x:v>
      </x:c>
      <x:c r="F16" s="14" t="str">
        <x:v>macOS notification for an ended OAuth login.</x:v>
      </x:c>
      <x:c r="G16" s="14" t="str">
        <x:v>Names the authentication problem directly while keeping the notification brief.</x:v>
      </x:c>
      <x:c r="H16" s="14" t="str">
        <x:v>Copy only</x:v>
      </x:c>
      <x:c r="I16" s="14" t="str">
        <x:v>High</x:v>
      </x:c>
      <x:c r="J16" s="14" t="str">
        <x:v>Alternative</x:v>
      </x:c>
    </x:row>
    <x:row r="17" ht="54" customHeight="1">
      <x:c r="A17" s="16" t="str">
        <x:v>SV-012</x:v>
      </x:c>
      <x:c r="B17" s="16" t="str">
        <x:v>serve: %s of yours may have newer releases, for your look: %s (dockhand outdated %s says why)</x:v>
      </x:c>
      <x:c r="C17" s="16" t="str">
        <x:v>serve: %s may have newer releases that need review: %s. Run dockhand outdated %s for details</x:v>
      </x:c>
      <x:c r="D17" s="16" t="str">
        <x:v>internal/engine/serve.go</x:v>
      </x:c>
      <x:c r="E17" s="17" t="n">
        <x:v>705</x:v>
      </x:c>
      <x:c r="F17" s="16" t="str">
        <x:v>Daily scan discovered new ambiguous release tags.</x:v>
      </x:c>
      <x:c r="G17" s="16" t="str">
        <x:v>Replaces vague personal phrasing with the uncertainty and review task.</x:v>
      </x:c>
      <x:c r="H17" s="16" t="str">
        <x:v>Copy only</x:v>
      </x:c>
      <x:c r="I17" s="16" t="str">
        <x:v>Medium</x:v>
      </x:c>
      <x:c r="J17" s="16" t="str">
        <x:v>Recommended</x:v>
      </x:c>
    </x:row>
    <x:row r="18" ht="54" customHeight="1">
      <x:c r="A18" s="14" t="str">
        <x:v>SV-013</x:v>
      </x:c>
      <x:c r="B18" s="14" t="str">
        <x:v>serve: GitHub's rate limit kept %s from the day's look; it looks at them again at %s</x:v>
      </x:c>
      <x:c r="C18" s="14" t="str">
        <x:v>serve: GitHub’s rate limit prevented checking %s for new releases. Retrying at %s</x:v>
      </x:c>
      <x:c r="D18" s="14" t="str">
        <x:v>internal/engine/serve.go</x:v>
      </x:c>
      <x:c r="E18" s="15" t="n">
        <x:v>804</x:v>
      </x:c>
      <x:c r="F18" s="14" t="str">
        <x:v>Daily scanner schedules one retry after the rate limit lifts.</x:v>
      </x:c>
      <x:c r="G18" s="14" t="str">
        <x:v>Names the missed operation and retry time.</x:v>
      </x:c>
      <x:c r="H18" s="14" t="str">
        <x:v>Copy only</x:v>
      </x:c>
      <x:c r="I18" s="14" t="str">
        <x:v>Medium</x:v>
      </x:c>
      <x:c r="J18" s="14" t="str">
        <x:v>Recommended</x:v>
      </x:c>
    </x:row>
    <x:row r="19" ht="54" customHeight="1">
      <x:c r="A19" s="16" t="str">
        <x:v>SV-014</x:v>
      </x:c>
      <x:c r="B19" s="16" t="str">
        <x:v>serve: GitHub's rate limit kept %s from the day's look again; it's done for today without them</x:v>
      </x:c>
      <x:c r="C19" s="16" t="str">
        <x:v>serve: GitHub’s rate limit still prevents checking %s for new releases. No further retries today</x:v>
      </x:c>
      <x:c r="D19" s="16" t="str">
        <x:v>internal/engine/serve.go</x:v>
      </x:c>
      <x:c r="E19" s="17" t="n">
        <x:v>806</x:v>
      </x:c>
      <x:c r="F19" s="16" t="str">
        <x:v>The single daily rate-limit retry also failed.</x:v>
      </x:c>
      <x:c r="G19" s="16" t="str">
        <x:v>Clearly states the remaining coverage gap and retry policy.</x:v>
      </x:c>
      <x:c r="H19" s="16" t="str">
        <x:v>Copy only</x:v>
      </x:c>
      <x:c r="I19" s="16" t="str">
        <x:v>Medium</x:v>
      </x:c>
      <x:c r="J19" s="16" t="str">
        <x:v>Recommended</x:v>
      </x:c>
    </x:row>
    <x:row r="20" ht="54" customHeight="1">
      <x:c r="A20" s="14" t="str">
        <x:v>SV-015</x:v>
      </x:c>
      <x:c r="B20" s="14" t="str">
        <x:v>serve: %s is held for a look: %s</x:v>
      </x:c>
      <x:c r="C20" s="14" t="str">
        <x:v>serve: %s needs review before submission: %s</x:v>
      </x:c>
      <x:c r="D20" s="14" t="str">
        <x:v>internal/engine/serve.go</x:v>
      </x:c>
      <x:c r="E20" s="15" t="n">
        <x:v>946</x:v>
      </x:c>
      <x:c r="F20" s="14" t="str">
        <x:v>Automatic submission candidate has a hold.</x:v>
      </x:c>
      <x:c r="G20" s="14" t="str">
        <x:v>Names both the blocked action and reason.</x:v>
      </x:c>
      <x:c r="H20" s="14" t="str">
        <x:v>Copy only</x:v>
      </x:c>
      <x:c r="I20" s="14" t="str">
        <x:v>Medium</x:v>
      </x:c>
      <x:c r="J20" s="14" t="str">
        <x:v>Recommended</x:v>
      </x:c>
    </x:row>
  </x:sheetData>
  <x:conditionalFormatting sqref="I6:I20">
    <x:cfRule type="containsText" dxfId="4" priority="1" operator="containsText" text="High"/>
  </x:conditionalFormatting>
  <x:conditionalFormatting sqref="J6:J20">
    <x:cfRule type="containsText" dxfId="5" priority="2" operator="containsText" text="Alternative"/>
  </x:conditionalFormatting>
  <x:pageMargins left="0.7" right="0.7" top="0.75" bottom="0.75" header="0.3" footer="0.3"/>
  <x:tableParts count="1">
    <x:tablePart xmlns:r="http://schemas.openxmlformats.org/officeDocument/2006/relationships" r:id="Re450af7c978c460a"/>
  </x:tableParts>
</x:worksheet>
</file>

<file path=xl/worksheets/sheet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1" hidden="0" customWidth="1"/>
    <x:col min="2" max="2" width="72" hidden="0" customWidth="1"/>
    <x:col min="3" max="3" width="72" hidden="0" customWidth="1"/>
    <x:col min="4" max="4" width="49" hidden="0" customWidth="1"/>
    <x:col min="5" max="5" width="8" hidden="0" customWidth="1"/>
    <x:col min="6" max="6" width="51" hidden="0" customWidth="1"/>
    <x:col min="7" max="7" width="51" hidden="0" customWidth="1"/>
    <x:col min="8" max="8" width="57" hidden="0" customWidth="1"/>
    <x:col min="9" max="9" width="12" hidden="0" customWidth="1"/>
    <x:col min="10" max="10" width="18" hidden="0" customWidth="1"/>
  </x:cols>
  <x:sheetData>
    <x:row r="1">
      <x:c r="A1" s="1"/>
      <x:c r="B1" s="1"/>
      <x:c r="C1" s="1"/>
      <x:c r="D1" s="1"/>
      <x:c r="E1" s="1"/>
      <x:c r="F1" s="1"/>
      <x:c r="G1" s="1"/>
      <x:c r="H1" s="1"/>
      <x:c r="I1" s="1"/>
      <x:c r="J1" s="1"/>
    </x:row>
    <x:row r="2" ht="30" customHeight="1">
      <x:c r="A2" s="1"/>
      <x:c r="B2" s="2" t="str">
        <x:v>Build environments</x:v>
      </x:c>
      <x:c r="C2" s="1"/>
      <x:c r="D2" s="1"/>
      <x:c r="E2" s="1"/>
      <x:c r="F2" s="1"/>
      <x:c r="G2" s="1"/>
      <x:c r="H2" s="1"/>
      <x:c r="I2" s="1"/>
      <x:c r="J2" s="1"/>
    </x:row>
    <x:row r="3">
      <x:c r="A3" s="3"/>
      <x:c r="B3" s="11" t="str">
        <x:v>23 proposals. Source files are relative to ~/Source/dockhand2.</x:v>
      </x:c>
      <x:c r="C3" s="3"/>
      <x:c r="D3" s="3"/>
      <x:c r="E3" s="3"/>
      <x:c r="F3" s="3"/>
      <x:c r="G3" s="3"/>
      <x:c r="H3" s="3"/>
      <x:c r="I3" s="3"/>
      <x:c r="J3" s="3"/>
    </x:row>
    <x:row r="4">
      <x:c r="A4" s="1"/>
      <x:c r="B4" s="1"/>
      <x:c r="C4" s="1"/>
      <x:c r="D4" s="1"/>
      <x:c r="E4" s="1"/>
      <x:c r="F4" s="1"/>
      <x:c r="G4" s="1"/>
      <x:c r="H4" s="1"/>
      <x:c r="I4" s="1"/>
      <x:c r="J4" s="1"/>
    </x:row>
    <x:row r="5" ht="30" customHeight="1">
      <x:c r="A5" s="12" t="str">
        <x:v>ID</x:v>
      </x:c>
      <x:c r="B5" s="12" t="str">
        <x:v>Current message</x:v>
      </x:c>
      <x:c r="C5" s="12" t="str">
        <x:v>Proposed message</x:v>
      </x:c>
      <x:c r="D5" s="12" t="str">
        <x:v>File</x:v>
      </x:c>
      <x:c r="E5" s="12" t="str">
        <x:v>Line</x:v>
      </x:c>
      <x:c r="F5" s="12" t="str">
        <x:v>Context</x:v>
      </x:c>
      <x:c r="G5" s="12" t="str">
        <x:v>Why change it</x:v>
      </x:c>
      <x:c r="H5" s="12" t="str">
        <x:v>Implementation notes</x:v>
      </x:c>
      <x:c r="I5" s="12" t="str">
        <x:v>Priority</x:v>
      </x:c>
      <x:c r="J5" s="12" t="str">
        <x:v>Proposal</x:v>
      </x:c>
    </x:row>
    <x:row r="6" ht="54" customHeight="1">
      <x:c r="A6" s="14" t="str">
        <x:v>BE-001</x:v>
      </x:c>
      <x:c r="B6" s="14" t="str">
        <x:v>%w: GitHub started no run of %s on %s after %s; are Actions enabled for your fork? (https://github.com/%s/actions)</x:v>
      </x:c>
      <x:c r="C6" s="14" t="str">
        <x:v>%w: GitHub did not start %s on branch %s within %s; check that Actions are enabled for your fork: https://github.com/%s/actions</x:v>
      </x:c>
      <x:c r="D6" s="14" t="str">
        <x:v>internal/buildenv/ghactions/provider.go</x:v>
      </x:c>
      <x:c r="E6" s="15" t="n">
        <x:v>196</x:v>
      </x:c>
      <x:c r="F6" s="14" t="str">
        <x:v>No workflow run appears before the polling deadline.</x:v>
      </x:c>
      <x:c r="G6" s="14" t="str">
        <x:v>Names the branch and deadline, and turns a rhetorical question into a useful check.</x:v>
      </x:c>
      <x:c r="H6" s="14" t="str">
        <x:v>Copy only</x:v>
      </x:c>
      <x:c r="I6" s="14" t="str">
        <x:v>Medium</x:v>
      </x:c>
      <x:c r="J6" s="14" t="str">
        <x:v>Recommended</x:v>
      </x:c>
    </x:row>
    <x:row r="7" ht="54" customHeight="1">
      <x:c r="A7" s="16" t="str">
        <x:v>BE-002</x:v>
      </x:c>
      <x:c r="B7" s="16" t="str">
        <x:v>the run built past its %s bound (providers.github.build_timeout), so dockhand cancelled it</x:v>
      </x:c>
      <x:c r="C7" s="16" t="str">
        <x:v>the run exceeded the %s build timeout (providers.github.build_timeout) and was cancelled</x:v>
      </x:c>
      <x:c r="D7" s="16" t="str">
        <x:v>internal/buildenv/ghactions/provider.go</x:v>
      </x:c>
      <x:c r="E7" s="17" t="n">
        <x:v>259</x:v>
      </x:c>
      <x:c r="F7" s="16" t="str">
        <x:v>Saved execution detail after cancelling a workflow that exceeds its configured timeout.</x:v>
      </x:c>
      <x:c r="G7" s="16" t="str">
        <x:v>Replaces built past its bound with familiar timeout language.</x:v>
      </x:c>
      <x:c r="H7" s="16" t="str">
        <x:v>Copy only</x:v>
      </x:c>
      <x:c r="I7" s="16" t="str">
        <x:v>Medium</x:v>
      </x:c>
      <x:c r="J7" s="16" t="str">
        <x:v>Recommended</x:v>
      </x:c>
    </x:row>
    <x:row r="8" ht="54" customHeight="1">
      <x:c r="A8" s="14" t="str">
        <x:v>BE-003</x:v>
      </x:c>
      <x:c r="B8" s="14" t="str">
        <x:v>%w: GitHub didn't end %s within %s of its cancelling</x:v>
      </x:c>
      <x:c r="C8" s="14" t="str">
        <x:v>%w: GitHub did not stop %s within %s of the cancellation request</x:v>
      </x:c>
      <x:c r="D8" s="14" t="str">
        <x:v>internal/buildenv/ghactions/provider.go</x:v>
      </x:c>
      <x:c r="E8" s="15" t="n">
        <x:v>266</x:v>
      </x:c>
      <x:c r="F8" s="14" t="str">
        <x:v>GitHub workflow remains active beyond the cancellation grace period.</x:v>
      </x:c>
      <x:c r="G8" s="14" t="str">
        <x:v>Removes an awkward possessive and distinguishes requesting cancellation from completion.</x:v>
      </x:c>
      <x:c r="H8" s="14" t="str">
        <x:v>Copy only</x:v>
      </x:c>
      <x:c r="I8" s="14" t="str">
        <x:v>Medium</x:v>
      </x:c>
      <x:c r="J8" s="14" t="str">
        <x:v>Recommended</x:v>
      </x:c>
    </x:row>
    <x:row r="9" ht="54" customHeight="1">
      <x:c r="A9" s="16" t="str">
        <x:v>BE-004</x:v>
      </x:c>
      <x:c r="B9" s="16" t="str">
        <x:v>Tart builds on a Mac; this isn't one</x:v>
      </x:c>
      <x:c r="C9" s="16" t="str">
        <x:v>Tart builds require macOS</x:v>
      </x:c>
      <x:c r="D9" s="16" t="str">
        <x:v>internal/buildenv/tart/host_other.go</x:v>
      </x:c>
      <x:c r="E9" s="17" t="n">
        <x:v>9</x:v>
      </x:c>
      <x:c r="F9" s="16" t="str">
        <x:v>A Tart build provider is used on a non-Darwin host.</x:v>
      </x:c>
      <x:c r="G9" s="16" t="str">
        <x:v>States the platform requirement directly.</x:v>
      </x:c>
      <x:c r="H9" s="16" t="str">
        <x:v>Copy only</x:v>
      </x:c>
      <x:c r="I9" s="16" t="str">
        <x:v>Medium</x:v>
      </x:c>
      <x:c r="J9" s="16" t="str">
        <x:v>Recommended</x:v>
      </x:c>
    </x:row>
    <x:row r="10" ht="60" customHeight="1">
      <x:c r="A10" s="14" t="str">
        <x:v>BE-005</x:v>
      </x:c>
      <x:c r="B10" s="14" t="str">
        <x:v>Tart %s is older than %s, which dockhand needs: it can't list its VMs while one with an ASIF disk runs (openai/tart#1344); sudo port upgrade tart</x:v>
      </x:c>
      <x:c r="C10" s="14" t="str">
        <x:v>Tart %s is installed; Dockhand requires %s or later to list running VMs with ASIF disks (openai/tart#1344). Upgrade with sudo port upgrade tart</x:v>
      </x:c>
      <x:c r="D10" s="14" t="str">
        <x:v>internal/buildenv/tart/provider.go</x:v>
      </x:c>
      <x:c r="E10" s="15" t="n">
        <x:v>153</x:v>
      </x:c>
      <x:c r="F10" s="14" t="str">
        <x:v>A build is refused because Tart predates the required ASIF listing fix.</x:v>
      </x:c>
      <x:c r="G10" s="14" t="str">
        <x:v>Makes the version requirement, reason, and upgrade command easy to scan.</x:v>
      </x:c>
      <x:c r="H10" s="14" t="str">
        <x:v>Copy only</x:v>
      </x:c>
      <x:c r="I10" s="14" t="str">
        <x:v>High</x:v>
      </x:c>
      <x:c r="J10" s="14" t="str">
        <x:v>Recommended</x:v>
      </x:c>
    </x:row>
    <x:row r="11" ht="54" customHeight="1">
      <x:c r="A11" s="16" t="str">
        <x:v>BE-006</x:v>
      </x:c>
      <x:c r="B11" s="16" t="str">
        <x:v>--on tart:all: dockhand has no Tart images yet; dockhand setup tart makes one for this Mac's macOS</x:v>
      </x:c>
      <x:c r="C11" s="16" t="str">
        <x:v>--on tart:all: no Tart base images are available; run dockhand setup tart to create one for this Mac's macOS</x:v>
      </x:c>
      <x:c r="D11" s="16" t="str">
        <x:v>internal/buildenv/tart/provider.go</x:v>
      </x:c>
      <x:c r="E11" s="17" t="n">
        <x:v>178</x:v>
      </x:c>
      <x:c r="F11" s="16" t="str">
        <x:v>Selecting all available Tart environments finds no release with a base image.</x:v>
      </x:c>
      <x:c r="G11" s="16" t="str">
        <x:v>The actual test is for base images; gives the command as an instruction.</x:v>
      </x:c>
      <x:c r="H11" s="16" t="str">
        <x:v>Copy only</x:v>
      </x:c>
      <x:c r="I11" s="16" t="str">
        <x:v>Medium</x:v>
      </x:c>
      <x:c r="J11" s="16" t="str">
        <x:v>Recommended</x:v>
      </x:c>
    </x:row>
    <x:row r="12" ht="54" customHeight="1">
      <x:c r="A12" s="14" t="str">
        <x:v>BE-007</x:v>
      </x:c>
      <x:c r="B12" s="14" t="str">
        <x:v>no Tart image for macOS %s (%s): dockhand setup tart %s restores %s from %s, in about a minute</x:v>
      </x:c>
      <x:c r="C12" s="14" t="str">
        <x:v>no Tart image for macOS %s (%s); run dockhand setup tart %s to restore %s from %s (about a minute)</x:v>
      </x:c>
      <x:c r="D12" s="14" t="str">
        <x:v>internal/buildenv/tart/provider.go</x:v>
      </x:c>
      <x:c r="E12" s="15" t="n">
        <x:v>197</x:v>
      </x:c>
      <x:c r="F12" s="14" t="str">
        <x:v>A release base image is missing but its golden copy exists.</x:v>
      </x:c>
      <x:c r="G12" s="14" t="str">
        <x:v>Clearly distinguishes a quick restore from a full image creation.</x:v>
      </x:c>
      <x:c r="H12" s="14" t="str">
        <x:v>Copy only</x:v>
      </x:c>
      <x:c r="I12" s="14" t="str">
        <x:v>Medium</x:v>
      </x:c>
      <x:c r="J12" s="14" t="str">
        <x:v>Recommended</x:v>
      </x:c>
    </x:row>
    <x:row r="13" ht="54" customHeight="1">
      <x:c r="A13" s="16" t="str">
        <x:v>BE-008</x:v>
      </x:c>
      <x:c r="B13" s="16" t="str">
        <x:v>no Tart image for macOS %s (%s): dockhand setup tart %s makes %s</x:v>
      </x:c>
      <x:c r="C13" s="16" t="str">
        <x:v>no Tart image for macOS %s (%s); run dockhand setup tart %s to create %s</x:v>
      </x:c>
      <x:c r="D13" s="16" t="str">
        <x:v>internal/buildenv/tart/provider.go</x:v>
      </x:c>
      <x:c r="E13" s="17" t="n">
        <x:v>199</x:v>
      </x:c>
      <x:c r="F13" s="16" t="str">
        <x:v>A requested release has no base image or golden copy.</x:v>
      </x:c>
      <x:c r="G13" s="16" t="str">
        <x:v>Makes the remedy an explicit instruction.</x:v>
      </x:c>
      <x:c r="H13" s="16" t="str">
        <x:v>Copy only</x:v>
      </x:c>
      <x:c r="I13" s="16" t="str">
        <x:v>Medium</x:v>
      </x:c>
      <x:c r="J13" s="16" t="str">
        <x:v>Recommended</x:v>
      </x:c>
    </x:row>
    <x:row r="14" ht="54" customHeight="1">
      <x:c r="A14" s="14" t="str">
        <x:v>BE-009</x:v>
      </x:c>
      <x:c r="B14" s="14" t="str">
        <x:v>%s is not a check's clone; only those are removed</x:v>
      </x:c>
      <x:c r="C14" s="14" t="str">
        <x:v>%s is not a temporary build VM; only temporary build VMs can be removed</x:v>
      </x:c>
      <x:c r="D14" s="14" t="str">
        <x:v>internal/buildenv/tart/provider.go</x:v>
      </x:c>
      <x:c r="E14" s="15" t="n">
        <x:v>399</x:v>
      </x:c>
      <x:c r="F14" s="14" t="str">
        <x:v>Provider refuses to delete a reference outside the namespace of disposable check clones.</x:v>
      </x:c>
      <x:c r="G14" s="14" t="str">
        <x:v>Replaces possessive jargon with the resource type users recognize.</x:v>
      </x:c>
      <x:c r="H14" s="14" t="str">
        <x:v>Copy only</x:v>
      </x:c>
      <x:c r="I14" s="14" t="str">
        <x:v>Medium</x:v>
      </x:c>
      <x:c r="J14" s="14" t="str">
        <x:v>Recommended</x:v>
      </x:c>
    </x:row>
    <x:row r="15" ht="54" customHeight="1">
      <x:c r="A15" s="16" t="str">
        <x:v>BE-010</x:v>
      </x:c>
      <x:c r="B15" s="16" t="str">
        <x:v>tart run ended before %s took an address: %w</x:v>
      </x:c>
      <x:c r="C15" s="16" t="str">
        <x:v>tart run exited before %s received an IP address: %w</x:v>
      </x:c>
      <x:c r="D15" s="16" t="str">
        <x:v>internal/buildenv/tart/provider.go</x:v>
      </x:c>
      <x:c r="E15" s="17" t="n">
        <x:v>621</x:v>
      </x:c>
      <x:c r="F15" s="16" t="str">
        <x:v>Tart exits while Dockhand waits for the VM network address.</x:v>
      </x:c>
      <x:c r="G15" s="16" t="str">
        <x:v>Uses precise network terminology.</x:v>
      </x:c>
      <x:c r="H15" s="16" t="str">
        <x:v>Copy only</x:v>
      </x:c>
      <x:c r="I15" s="16" t="str">
        <x:v>Medium</x:v>
      </x:c>
      <x:c r="J15" s="16" t="str">
        <x:v>Recommended</x:v>
      </x:c>
    </x:row>
    <x:row r="16" ht="54" customHeight="1">
      <x:c r="A16" s="14" t="str">
        <x:v>BE-011</x:v>
      </x:c>
      <x:c r="B16" s="14" t="str">
        <x:v>the archive kept of %s: %w</x:v>
      </x:c>
      <x:c r="C16" s="14" t="str">
        <x:v>preparing the saved archive for %s: %w</x:v>
      </x:c>
      <x:c r="D16" s="14" t="str">
        <x:v>internal/buildenv/tart/provider.go</x:v>
      </x:c>
      <x:c r="E16" s="15" t="n">
        <x:v>836</x:v>
      </x:c>
      <x:c r="F16" s="14" t="str">
        <x:v>A saved build archive cannot be signed and prepared for installation into another build VM.</x:v>
      </x:c>
      <x:c r="G16" s="14" t="str">
        <x:v>Replaces awkward word order with the failed operation, covering digest validation and signing.</x:v>
      </x:c>
      <x:c r="H16" s="14" t="str">
        <x:v>Copy only</x:v>
      </x:c>
      <x:c r="I16" s="14" t="str">
        <x:v>Medium</x:v>
      </x:c>
      <x:c r="J16" s="14" t="str">
        <x:v>Recommended</x:v>
      </x:c>
    </x:row>
    <x:row r="17" ht="54" customHeight="1">
      <x:c r="A17" s="16" t="str">
        <x:v>BE-012</x:v>
      </x:c>
      <x:c r="B17" s="16" t="str">
        <x:v>--check and --rebuild ask for opposite things; choose one</x:v>
      </x:c>
      <x:c r="C17" s="16" t="str">
        <x:v>--check and --rebuild cannot be used together; choose one</x:v>
      </x:c>
      <x:c r="D17" s="16" t="str">
        <x:v>internal/buildenv/tart/setup.go</x:v>
      </x:c>
      <x:c r="E17" s="17" t="n">
        <x:v>206</x:v>
      </x:c>
      <x:c r="F17" s="16" t="str">
        <x:v>Setup receives mutually exclusive flags.</x:v>
      </x:c>
      <x:c r="G17" s="16" t="str">
        <x:v>States the actionable constraint without conversational filler.</x:v>
      </x:c>
      <x:c r="H17" s="16" t="str">
        <x:v>Copy only</x:v>
      </x:c>
      <x:c r="I17" s="16" t="str">
        <x:v>Medium</x:v>
      </x:c>
      <x:c r="J17" s="16" t="str">
        <x:v>Recommended</x:v>
      </x:c>
    </x:row>
    <x:row r="18" ht="60" customHeight="1">
      <x:c r="A18" s="14" t="str">
        <x:v>BE-013</x:v>
      </x:c>
      <x:c r="B18" s="14" t="str">
        <x:v>an Xcode image is an add-on to macOS %s (%s)'s base image, which isn't made yet: dockhand setup tart %s makes it, then --xcode adds Xcode beside it</x:v>
      </x:c>
      <x:c r="C18" s="14" t="str">
        <x:v>the base image for macOS %s (%s) is missing; run dockhand setup tart %s first, then rerun with --xcode</x:v>
      </x:c>
      <x:c r="D18" s="14" t="str">
        <x:v>internal/buildenv/tart/setup.go</x:v>
      </x:c>
      <x:c r="E18" s="15" t="n">
        <x:v>231</x:v>
      </x:c>
      <x:c r="F18" s="14" t="str">
        <x:v>Setup is asked to create an Xcode image before the release base image exists.</x:v>
      </x:c>
      <x:c r="G18" s="14" t="str">
        <x:v>Moves the blocking condition and exact next step to the front.</x:v>
      </x:c>
      <x:c r="H18" s="14" t="str">
        <x:v>Copy only</x:v>
      </x:c>
      <x:c r="I18" s="14" t="str">
        <x:v>High</x:v>
      </x:c>
      <x:c r="J18" s="14" t="str">
        <x:v>Recommended</x:v>
      </x:c>
    </x:row>
    <x:row r="19" ht="54" customHeight="1">
      <x:c r="A19" s="16" t="str">
        <x:v>BE-014</x:v>
      </x:c>
      <x:c r="B19" s="16" t="str">
        <x:v>Making %s for macOS %s (%s), which takes up to %s of disk.
</x:v>
      </x:c>
      <x:c r="C19" s="16" t="str">
        <x:v>Creating %s for macOS %s (%s); requires up to %s of disk space.
</x:v>
      </x:c>
      <x:c r="D19" s="16" t="str">
        <x:v>internal/buildenv/tart/setup.go</x:v>
      </x:c>
      <x:c r="E19" s="17" t="n">
        <x:v>248</x:v>
      </x:c>
      <x:c r="F19" s="16" t="str">
        <x:v>Progress before creating or rebuilding a Tart image.</x:v>
      </x:c>
      <x:c r="G19" s="16" t="str">
        <x:v>Uses conventional verbs and a concise resource estimate.</x:v>
      </x:c>
      <x:c r="H19" s="16" t="str">
        <x:v>Copy only</x:v>
      </x:c>
      <x:c r="I19" s="16" t="str">
        <x:v>Medium</x:v>
      </x:c>
      <x:c r="J19" s="16" t="str">
        <x:v>Recommended</x:v>
      </x:c>
    </x:row>
    <x:row r="20" ht="54" customHeight="1">
      <x:c r="A20" s="14" t="str">
        <x:v>BE-015</x:v>
      </x:c>
      <x:c r="B20" s="14" t="str">
        <x:v>xcodes couldn't download it</x:v>
      </x:c>
      <x:c r="C20" s="14" t="str">
        <x:v>xcodes could not download Xcode</x:v>
      </x:c>
      <x:c r="D20" s="14" t="str">
        <x:v>internal/buildenv/tart/setup.go</x:v>
      </x:c>
      <x:c r="E20" s="15" t="n">
        <x:v>303</x:v>
      </x:c>
      <x:c r="F20" s="14" t="str">
        <x:v>Shared error prefix for the Xcode download command.</x:v>
      </x:c>
      <x:c r="G20" s="14" t="str">
        <x:v>Names the missing object instead of relying on it.</x:v>
      </x:c>
      <x:c r="H20" s="14" t="str">
        <x:v>Copy only</x:v>
      </x:c>
      <x:c r="I20" s="14" t="str">
        <x:v>Medium</x:v>
      </x:c>
      <x:c r="J20" s="14" t="str">
        <x:v>Recommended</x:v>
      </x:c>
    </x:row>
    <x:row r="21" ht="54" customHeight="1">
      <x:c r="A21" s="16" t="str">
        <x:v>BE-016</x:v>
      </x:c>
      <x:c r="B21" s="16" t="str">
        <x:v>%s is one archive, not a folder to download Xcode %s into</x:v>
      </x:c>
      <x:c r="C21" s="16" t="str">
        <x:v>%s is a file; choose a download directory for Xcode %s</x:v>
      </x:c>
      <x:c r="D21" s="16" t="str">
        <x:v>internal/buildenv/tart/setup.go</x:v>
      </x:c>
      <x:c r="E21" s="17" t="n">
        <x:v>316</x:v>
      </x:c>
      <x:c r="F21" s="16" t="str">
        <x:v>Xcode download is requested with a path to one archive rather than a folder.</x:v>
      </x:c>
      <x:c r="G21" s="16" t="str">
        <x:v>States how to correct the path.</x:v>
      </x:c>
      <x:c r="H21" s="16" t="str">
        <x:v>Copy only</x:v>
      </x:c>
      <x:c r="I21" s="16" t="str">
        <x:v>Medium</x:v>
      </x:c>
      <x:c r="J21" s="16" t="str">
        <x:v>Recommended</x:v>
      </x:c>
    </x:row>
    <x:row r="22" ht="54" customHeight="1">
      <x:c r="A22" s="14" t="str">
        <x:v>BE-017</x:v>
      </x:c>
      <x:c r="B22" s="14" t="str">
        <x:v>xcodes finished, and still: %w</x:v>
      </x:c>
      <x:c r="C22" s="14" t="str">
        <x:v>xcodes finished, but no suitable Xcode archive was found: %w</x:v>
      </x:c>
      <x:c r="D22" s="14" t="str">
        <x:v>internal/buildenv/tart/setup.go</x:v>
      </x:c>
      <x:c r="E22" s="15" t="n">
        <x:v>325</x:v>
      </x:c>
      <x:c r="F22" s="14" t="str">
        <x:v>The download command succeeded but archive selection still fails.</x:v>
      </x:c>
      <x:c r="G22" s="14" t="str">
        <x:v>Replaces an incomplete sentence with the failed post-download check.</x:v>
      </x:c>
      <x:c r="H22" s="14" t="str">
        <x:v>Copy only</x:v>
      </x:c>
      <x:c r="I22" s="14" t="str">
        <x:v>Medium</x:v>
      </x:c>
      <x:c r="J22" s="14" t="str">
        <x:v>Recommended</x:v>
      </x:c>
    </x:row>
    <x:row r="23" ht="54" customHeight="1">
      <x:c r="A23" s="16" t="str">
        <x:v>BE-018</x:v>
      </x:c>
      <x:c r="B23" s="16" t="str">
        <x:v>--only %s: the branch does not change it; --also builds an unchanged port</x:v>
      </x:c>
      <x:c r="C23" s="16" t="str">
        <x:v>--only %s: this port is unchanged on the branch; use --also to include an unchanged port</x:v>
      </x:c>
      <x:c r="D23" s="16" t="str">
        <x:v>internal/planning/planning.go</x:v>
      </x:c>
      <x:c r="E23" s="17" t="n">
        <x:v>558</x:v>
      </x:c>
      <x:c r="F23" s="16" t="str">
        <x:v>The --only filter names no changed port in the build plan.</x:v>
      </x:c>
      <x:c r="G23" s="16" t="str">
        <x:v>Identifies the subject and gives the correct flag as an instruction.</x:v>
      </x:c>
      <x:c r="H23" s="16" t="str">
        <x:v>Copy only</x:v>
      </x:c>
      <x:c r="I23" s="16" t="str">
        <x:v>Medium</x:v>
      </x:c>
      <x:c r="J23" s="16" t="str">
        <x:v>Recommended</x:v>
      </x:c>
    </x:row>
    <x:row r="24" ht="54" customHeight="1">
      <x:c r="A24" s="14" t="str">
        <x:v>BE-019</x:v>
      </x:c>
      <x:c r="B24" s="14" t="str">
        <x:v>tart: a VM went while Tart listed its VMs</x:v>
      </x:c>
      <x:c r="C24" s="14" t="str">
        <x:v>tart: a VM was deleted while Tart was listing VMs</x:v>
      </x:c>
      <x:c r="D24" s="14" t="str">
        <x:v>internal/tart/images.go</x:v>
      </x:c>
      <x:c r="E24" s="15" t="n">
        <x:v>73</x:v>
      </x:c>
      <x:c r="F24" s="14" t="str">
        <x:v>Tart image listing still fails after retrying a concurrent-delete race.</x:v>
      </x:c>
      <x:c r="G24" s="14" t="str">
        <x:v>Replaces the opaque phrase a VM went with the observed event.</x:v>
      </x:c>
      <x:c r="H24" s="14" t="str">
        <x:v>Copy only</x:v>
      </x:c>
      <x:c r="I24" s="14" t="str">
        <x:v>Medium</x:v>
      </x:c>
      <x:c r="J24" s="14" t="str">
        <x:v>Recommended</x:v>
      </x:c>
    </x:row>
    <x:row r="25" ht="54" customHeight="1">
      <x:c r="A25" s="16" t="str">
        <x:v>BE-020</x:v>
      </x:c>
      <x:c r="B25" s="16" t="str">
        <x:v>tart: Tart didn't answer tart list</x:v>
      </x:c>
      <x:c r="C25" s="16" t="str">
        <x:v>tart: tart list timed out</x:v>
      </x:c>
      <x:c r="D25" s="16" t="str">
        <x:v>internal/tart/images.go</x:v>
      </x:c>
      <x:c r="E25" s="17" t="n">
        <x:v>90</x:v>
      </x:c>
      <x:c r="F25" s="16" t="str">
        <x:v>Timeout error prefix for VM inventory reads.</x:v>
      </x:c>
      <x:c r="G25" s="16" t="str">
        <x:v>Uses the standard name for a command timeout.</x:v>
      </x:c>
      <x:c r="H25" s="16" t="str">
        <x:v>Copy only</x:v>
      </x:c>
      <x:c r="I25" s="16" t="str">
        <x:v>Medium</x:v>
      </x:c>
      <x:c r="J25" s="16" t="str">
        <x:v>Recommended</x:v>
      </x:c>
    </x:row>
    <x:row r="26" ht="54" customHeight="1">
      <x:c r="A26" s="14" t="str">
        <x:v>BE-021</x:v>
      </x:c>
      <x:c r="B26" s="14" t="str">
        <x:v>%w in %s, so what VMs there are is unknown; a disk image Tart's listing waits on may be stuck attached (hdiutil info)</x:v>
      </x:c>
      <x:c r="C26" s="14" t="str">
        <x:v>%w after %s; VM status is unknown. A stuck disk image attachment may be blocking Tart; run hdiutil info to inspect attached images</x:v>
      </x:c>
      <x:c r="D26" s="14" t="str">
        <x:v>internal/tart/images.go</x:v>
      </x:c>
      <x:c r="E26" s="15" t="n">
        <x:v>122</x:v>
      </x:c>
      <x:c r="F26" s="14" t="str">
        <x:v>Tart list exceeds its two-minute timeout while the caller is still active.</x:v>
      </x:c>
      <x:c r="G26" s="14" t="str">
        <x:v>Separates the consequence, possible cause, and diagnostic command.</x:v>
      </x:c>
      <x:c r="H26" s="14" t="str">
        <x:v>Copy only</x:v>
      </x:c>
      <x:c r="I26" s="14" t="str">
        <x:v>High</x:v>
      </x:c>
      <x:c r="J26" s="14" t="str">
        <x:v>Recommended</x:v>
      </x:c>
    </x:row>
    <x:row r="27" ht="54" customHeight="1">
      <x:c r="A27" s="16" t="str">
        <x:v>BE-022</x:v>
      </x:c>
      <x:c r="B27" s="16" t="str">
        <x:v>tart: invalid image listing: an entry lacks Name, Source, or Running and State, which dockhand reads</x:v>
      </x:c>
      <x:c r="C27" s="16" t="str">
        <x:v>tart: invalid image listing: each entry must include Name, Source, and either Running or State</x:v>
      </x:c>
      <x:c r="D27" s="16" t="str">
        <x:v>internal/tart/images.go</x:v>
      </x:c>
      <x:c r="E27" s="17" t="n">
        <x:v>159</x:v>
      </x:c>
      <x:c r="F27" s="16" t="str">
        <x:v>Tart JSON listing lacks fields Dockhand requires.</x:v>
      </x:c>
      <x:c r="G27" s="16" t="str">
        <x:v>Expresses the actual boolean requirement and removes a trailing aside.</x:v>
      </x:c>
      <x:c r="H27" s="16" t="str">
        <x:v>Copy only</x:v>
      </x:c>
      <x:c r="I27" s="16" t="str">
        <x:v>Medium</x:v>
      </x:c>
      <x:c r="J27" s="16" t="str">
        <x:v>Recommended</x:v>
      </x:c>
    </x:row>
    <x:row r="28" ht="54" customHeight="1">
      <x:c r="A28" s="14" t="str">
        <x:v>BE-023</x:v>
      </x:c>
      <x:c r="B28" s="14" t="str">
        <x:v>tart: invalid description of %s: it lacks DiskFormat, or Running and State, which dockhand reads</x:v>
      </x:c>
      <x:c r="C28" s="14" t="str">
        <x:v>tart: invalid description of %s: expected DiskFormat and either Running or State</x:v>
      </x:c>
      <x:c r="D28" s="14" t="str">
        <x:v>internal/tart/images.go</x:v>
      </x:c>
      <x:c r="E28" s="15" t="n">
        <x:v>183</x:v>
      </x:c>
      <x:c r="F28" s="14" t="str">
        <x:v>Tart get JSON is missing required fields.</x:v>
      </x:c>
      <x:c r="G28" s="14" t="str">
        <x:v>Makes the field requirement unambiguous.</x:v>
      </x:c>
      <x:c r="H28" s="14" t="str">
        <x:v>Copy only</x:v>
      </x:c>
      <x:c r="I28" s="14" t="str">
        <x:v>Medium</x:v>
      </x:c>
      <x:c r="J28" s="14" t="str">
        <x:v>Recommended</x:v>
      </x:c>
    </x:row>
  </x:sheetData>
  <x:conditionalFormatting sqref="I6:I28">
    <x:cfRule type="containsText" dxfId="6" priority="1" operator="containsText" text="High"/>
  </x:conditionalFormatting>
  <x:conditionalFormatting sqref="J6:J28">
    <x:cfRule type="containsText" dxfId="7" priority="2" operator="containsText" text="Alternative"/>
  </x:conditionalFormatting>
  <x:pageMargins left="0.7" right="0.7" top="0.75" bottom="0.75" header="0.3" footer="0.3"/>
  <x:tableParts count="1">
    <x:tablePart xmlns:r="http://schemas.openxmlformats.org/officeDocument/2006/relationships" r:id="R6045e764a0954018"/>
  </x:tableParts>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1" hidden="0" customWidth="1"/>
    <x:col min="2" max="2" width="72" hidden="0" customWidth="1"/>
    <x:col min="3" max="3" width="72" hidden="0" customWidth="1"/>
    <x:col min="4" max="4" width="49" hidden="0" customWidth="1"/>
    <x:col min="5" max="5" width="8" hidden="0" customWidth="1"/>
    <x:col min="6" max="6" width="51" hidden="0" customWidth="1"/>
    <x:col min="7" max="7" width="51" hidden="0" customWidth="1"/>
    <x:col min="8" max="8" width="57" hidden="0" customWidth="1"/>
    <x:col min="9" max="9" width="12" hidden="0" customWidth="1"/>
    <x:col min="10" max="10" width="18" hidden="0" customWidth="1"/>
  </x:cols>
  <x:sheetData>
    <x:row r="1">
      <x:c r="A1" s="1"/>
      <x:c r="B1" s="1"/>
      <x:c r="C1" s="1"/>
      <x:c r="D1" s="1"/>
      <x:c r="E1" s="1"/>
      <x:c r="F1" s="1"/>
      <x:c r="G1" s="1"/>
      <x:c r="H1" s="1"/>
      <x:c r="I1" s="1"/>
      <x:c r="J1" s="1"/>
    </x:row>
    <x:row r="2" ht="30" customHeight="1">
      <x:c r="A2" s="1"/>
      <x:c r="B2" s="2" t="str">
        <x:v>Port changes</x:v>
      </x:c>
      <x:c r="C2" s="1"/>
      <x:c r="D2" s="1"/>
      <x:c r="E2" s="1"/>
      <x:c r="F2" s="1"/>
      <x:c r="G2" s="1"/>
      <x:c r="H2" s="1"/>
      <x:c r="I2" s="1"/>
      <x:c r="J2" s="1"/>
    </x:row>
    <x:row r="3">
      <x:c r="A3" s="3"/>
      <x:c r="B3" s="11" t="str">
        <x:v>28 proposals. Source files are relative to ~/Source/dockhand2.</x:v>
      </x:c>
      <x:c r="C3" s="3"/>
      <x:c r="D3" s="3"/>
      <x:c r="E3" s="3"/>
      <x:c r="F3" s="3"/>
      <x:c r="G3" s="3"/>
      <x:c r="H3" s="3"/>
      <x:c r="I3" s="3"/>
      <x:c r="J3" s="3"/>
    </x:row>
    <x:row r="4">
      <x:c r="A4" s="1"/>
      <x:c r="B4" s="1"/>
      <x:c r="C4" s="1"/>
      <x:c r="D4" s="1"/>
      <x:c r="E4" s="1"/>
      <x:c r="F4" s="1"/>
      <x:c r="G4" s="1"/>
      <x:c r="H4" s="1"/>
      <x:c r="I4" s="1"/>
      <x:c r="J4" s="1"/>
    </x:row>
    <x:row r="5" ht="30" customHeight="1">
      <x:c r="A5" s="12" t="str">
        <x:v>ID</x:v>
      </x:c>
      <x:c r="B5" s="12" t="str">
        <x:v>Current message</x:v>
      </x:c>
      <x:c r="C5" s="12" t="str">
        <x:v>Proposed message</x:v>
      </x:c>
      <x:c r="D5" s="12" t="str">
        <x:v>File</x:v>
      </x:c>
      <x:c r="E5" s="12" t="str">
        <x:v>Line</x:v>
      </x:c>
      <x:c r="F5" s="12" t="str">
        <x:v>Context</x:v>
      </x:c>
      <x:c r="G5" s="12" t="str">
        <x:v>Why change it</x:v>
      </x:c>
      <x:c r="H5" s="12" t="str">
        <x:v>Implementation notes</x:v>
      </x:c>
      <x:c r="I5" s="12" t="str">
        <x:v>Priority</x:v>
      </x:c>
      <x:c r="J5" s="12" t="str">
        <x:v>Proposal</x:v>
      </x:c>
    </x:row>
    <x:row r="6" ht="54" customHeight="1">
      <x:c r="A6" s="14" t="str">
        <x:v>PC-001</x:v>
      </x:c>
      <x:c r="B6" s="14" t="str">
        <x:v>%w: patchfile %s isn't a file under the port's files directory, and patches fetched from a site aren't checked</x:v>
      </x:c>
      <x:c r="C6" s="14" t="str">
        <x:v>%w: patchfile %s is not in the port's files directory; checking downloaded patches is not supported</x:v>
      </x:c>
      <x:c r="D6" s="14" t="str">
        <x:v>internal/macports/distfetch/download.go</x:v>
      </x:c>
      <x:c r="E6" s="15" t="n">
        <x:v>93</x:v>
      </x:c>
      <x:c r="F6" s="14" t="str">
        <x:v>Patch validation cannot find a patch as a local file in the frozen files directory.</x:v>
      </x:c>
      <x:c r="G6" s="14" t="str">
        <x:v>Separates the missing local file from the unsupported remote-patch check.</x:v>
      </x:c>
      <x:c r="H6" s="14" t="str">
        <x:v>Copy only</x:v>
      </x:c>
      <x:c r="I6" s="14" t="str">
        <x:v>Medium</x:v>
      </x:c>
      <x:c r="J6" s="14" t="str">
        <x:v>Recommended</x:v>
      </x:c>
    </x:row>
    <x:row r="7" ht="75" customHeight="1">
      <x:c r="A7" s="16" t="str">
        <x:v>PC-002</x:v>
      </x:c>
      <x:c r="B7" s="16" t="str">
        <x:v>archives: downloading %s: %w; PyPI publishes only wheels for %s %s, and a release without a source archive never gets one, so the port needs its source from elsewhere, such as the project's own release on its forge</x:v>
      </x:c>
      <x:c r="C7" s="16" t="str">
        <x:v>archives: downloading %s: %w; PyPI has only wheels for %s %s. Update the Portfile to use another source archive, such as one from the project's release page</x:v>
      </x:c>
      <x:c r="D7" s="16" t="str">
        <x:v>internal/macports/portedit/artifact_apply.go</x:v>
      </x:c>
      <x:c r="E7" s="17" t="n">
        <x:v>217</x:v>
      </x:c>
      <x:c r="F7" s="16" t="str">
        <x:v>A PyPI source download returns 404 and PyPI reports wheel-only files for that release.</x:v>
      </x:c>
      <x:c r="G7" s="16" t="str">
        <x:v>Removes an unsupported absolute claim about future uploads and gives a concrete remedy.</x:v>
      </x:c>
      <x:c r="H7" s="16" t="str">
        <x:v>Copy only</x:v>
      </x:c>
      <x:c r="I7" s="16" t="str">
        <x:v>High</x:v>
      </x:c>
      <x:c r="J7" s="16" t="str">
        <x:v>Recommended</x:v>
      </x:c>
    </x:row>
    <x:row r="8" ht="54" customHeight="1">
      <x:c r="A8" s="14" t="str">
        <x:v>PC-003</x:v>
      </x:c>
      <x:c r="B8" s="14" t="str">
        <x:v>No release upstream to look for: it fetches nothing, and no livecheck reads its version</x:v>
      </x:c>
      <x:c r="C8" s="14" t="str">
        <x:v>No upstream release to check: the port fetches no source, and livecheck does not use its version</x:v>
      </x:c>
      <x:c r="D8" s="14" t="str">
        <x:v>internal/macports/portedit/assessment.go</x:v>
      </x:c>
      <x:c r="E8" s="15" t="n">
        <x:v>135</x:v>
      </x:c>
      <x:c r="F8" s="14" t="str">
        <x:v>Assessment finding for a port whose version is maintained by MacPorts.</x:v>
      </x:c>
      <x:c r="G8" s="14" t="str">
        <x:v>Removes strained word order while preserving the two reasons.</x:v>
      </x:c>
      <x:c r="H8" s="14" t="str">
        <x:v>Copy only</x:v>
      </x:c>
      <x:c r="I8" s="14" t="str">
        <x:v>Medium</x:v>
      </x:c>
      <x:c r="J8" s="14" t="str">
        <x:v>Recommended</x:v>
      </x:c>
    </x:row>
    <x:row r="9" ht="54" customHeight="1">
      <x:c r="A9" s="16" t="str">
        <x:v>PC-004</x:v>
      </x:c>
      <x:c r="B9" s="16" t="str">
        <x:v>Its version is MacPorts' own, which update leaves; no version input is needed</x:v>
      </x:c>
      <x:c r="C9" s="16" t="str">
        <x:v>MacPorts maintains this version, so update leaves it unchanged; no editable version declaration is needed</x:v>
      </x:c>
      <x:c r="D9" s="16" t="str">
        <x:v>internal/macports/portedit/assessment.go</x:v>
      </x:c>
      <x:c r="E9" s="17" t="n">
        <x:v>148</x:v>
      </x:c>
      <x:c r="F9" s="16" t="str">
        <x:v>Assessment version-input finding for a port with no upstream-owned version.</x:v>
      </x:c>
      <x:c r="G9" s="16" t="str">
        <x:v>Names the owner and replaces the implementation term version input.</x:v>
      </x:c>
      <x:c r="H9" s="16" t="str">
        <x:v>Copy only</x:v>
      </x:c>
      <x:c r="I9" s="16" t="str">
        <x:v>Medium</x:v>
      </x:c>
      <x:c r="J9" s="16" t="str">
        <x:v>Recommended</x:v>
      </x:c>
    </x:row>
    <x:row r="10" ht="60" customHeight="1">
      <x:c r="A10" s="14" t="str">
        <x:v>PC-005</x:v>
      </x:c>
      <x:c r="B10" s="14" t="str">
        <x:v>Literal input candidates found; a specific release still needs edit-fidelity checks</x:v>
      </x:c>
      <x:c r="C10" s="14" t="str">
        <x:v>Found declarations that may control the version; a specific release must still be checked for unintended changes</x:v>
      </x:c>
      <x:c r="D10" s="14" t="str">
        <x:v>internal/macports/portedit/assessment.go</x:v>
      </x:c>
      <x:c r="E10" s="15" t="n">
        <x:v>151</x:v>
      </x:c>
      <x:c r="F10" s="14" t="str">
        <x:v>Assessment finds potential editable literals but has not established a safe concrete update.</x:v>
      </x:c>
      <x:c r="G10" s="14" t="str">
        <x:v>Explains both the result and remaining uncertainty without input-candidate or edit-fidelity jargon.</x:v>
      </x:c>
      <x:c r="H10" s="14" t="str">
        <x:v>Copy only</x:v>
      </x:c>
      <x:c r="I10" s="14" t="str">
        <x:v>Medium</x:v>
      </x:c>
      <x:c r="J10" s="14" t="str">
        <x:v>Recommended</x:v>
      </x:c>
    </x:row>
    <x:row r="11" ht="54" customHeight="1">
      <x:c r="A11" s="16" t="str">
        <x:v>PC-006</x:v>
      </x:c>
      <x:c r="B11" s="16" t="str">
        <x:v>Version probing requires an evaluable version convention</x:v>
      </x:c>
      <x:c r="C11" s="16" t="str">
        <x:v>Cannot check version edits until the Portfile version can be evaluated</x:v>
      </x:c>
      <x:c r="D11" s="16" t="str">
        <x:v>internal/macports/portedit/assessment.go</x:v>
      </x:c>
      <x:c r="E11" s="17" t="n">
        <x:v>159</x:v>
      </x:c>
      <x:c r="F11" s="16" t="str">
        <x:v>Assessment cannot test possible version edits because the source convention is unsupported.</x:v>
      </x:c>
      <x:c r="G11" s="16" t="str">
        <x:v>States the blocked check in direct language.</x:v>
      </x:c>
      <x:c r="H11" s="16" t="str">
        <x:v>Copy only</x:v>
      </x:c>
      <x:c r="I11" s="16" t="str">
        <x:v>Medium</x:v>
      </x:c>
      <x:c r="J11" s="16" t="str">
        <x:v>Recommended</x:v>
      </x:c>
    </x:row>
    <x:row r="12" ht="54" customHeight="1">
      <x:c r="A12" s="14" t="str">
        <x:v>PC-007</x:v>
      </x:c>
      <x:c r="B12" s="14" t="str">
        <x:v>Manifest regeneration and preservation of maintained overrides require source archives</x:v>
      </x:c>
      <x:c r="C12" s="14" t="str">
        <x:v>Source archives are needed to regenerate dependencies and preserve manual overrides</x:v>
      </x:c>
      <x:c r="D12" s="14" t="str">
        <x:v>internal/macports/portedit/assessment.go</x:v>
      </x:c>
      <x:c r="E12" s="15" t="n">
        <x:v>175</x:v>
      </x:c>
      <x:c r="F12" s="14" t="str">
        <x:v>Assessment has not downloaded the archives needed for dependency regeneration.</x:v>
      </x:c>
      <x:c r="G12" s="14" t="str">
        <x:v>Replaces nominalized technical phrasing with the task and prerequisite.</x:v>
      </x:c>
      <x:c r="H12" s="14" t="str">
        <x:v>Copy only</x:v>
      </x:c>
      <x:c r="I12" s="14" t="str">
        <x:v>Medium</x:v>
      </x:c>
      <x:c r="J12" s="14" t="str">
        <x:v>Recommended</x:v>
      </x:c>
    </x:row>
    <x:row r="13" ht="54" customHeight="1">
      <x:c r="A13" s="16" t="str">
        <x:v>PC-008</x:v>
      </x:c>
      <x:c r="B13" s="16" t="str">
        <x:v>Fetches nothing, and no livecheck reads its version: its version is MacPorts' own, which update leaves</x:v>
      </x:c>
      <x:c r="C13" s="16" t="str">
        <x:v>No source is downloaded, and livecheck does not use the version; MacPorts maintains it, so update leaves it unchanged</x:v>
      </x:c>
      <x:c r="D13" s="16" t="str">
        <x:v>internal/macports/portedit/assessment.go</x:v>
      </x:c>
      <x:c r="E13" s="17" t="n">
        <x:v>191</x:v>
      </x:c>
      <x:c r="F13" s="16" t="str">
        <x:v>Assessment fetch finding for a MacPorts-maintained version.</x:v>
      </x:c>
      <x:c r="G13" s="16" t="str">
        <x:v>Untangles the ownership and update behavior.</x:v>
      </x:c>
      <x:c r="H13" s="16" t="str">
        <x:v>Copy only</x:v>
      </x:c>
      <x:c r="I13" s="16" t="str">
        <x:v>Medium</x:v>
      </x:c>
      <x:c r="J13" s="16" t="str">
        <x:v>Recommended</x:v>
      </x:c>
    </x:row>
    <x:row r="14" ht="60" customHeight="1">
      <x:c r="A14" s="14" t="str">
        <x:v>PC-009</x:v>
      </x:c>
      <x:c r="B14" s="14" t="str">
        <x:v>Resolved release passes pre-download version, source, checksum, and edit-fidelity checks</x:v>
      </x:c>
      <x:c r="C14" s="14" t="str">
        <x:v>The selected release passes version, source, checksum-structure, and unintended-change checks; archives have not been downloaded</x:v>
      </x:c>
      <x:c r="D14" s="14" t="str">
        <x:v>internal/macports/portedit/assessment.go</x:v>
      </x:c>
      <x:c r="E14" s="15" t="n">
        <x:v>214</x:v>
      </x:c>
      <x:c r="F14" s="14" t="str">
        <x:v>Assessment passes candidate checks without downloading source archives.</x:v>
      </x:c>
      <x:c r="G14" s="14" t="str">
        <x:v>Makes the verification boundary explicit so checksum checks are not mistaken for content validation.</x:v>
      </x:c>
      <x:c r="H14" s="14" t="str">
        <x:v>Copy only</x:v>
      </x:c>
      <x:c r="I14" s="14" t="str">
        <x:v>High</x:v>
      </x:c>
      <x:c r="J14" s="14" t="str">
        <x:v>Recommended</x:v>
      </x:c>
    </x:row>
    <x:row r="15" ht="60" customHeight="1">
      <x:c r="A15" s="16" t="str">
        <x:v>PC-010</x:v>
      </x:c>
      <x:c r="B15" s="16" t="str">
        <x:v>%w: %s reads its %s's checksums before its own archives', so the two can't be told apart</x:v>
      </x:c>
      <x:c r="C15" s="16" t="str">
        <x:v>%w: %s lists %s checksums before its source-archive checksums; cannot distinguish the two groups</x:v>
      </x:c>
      <x:c r="D15" s="16" t="str">
        <x:v>internal/macports/portedit/checksums.go</x:v>
      </x:c>
      <x:c r="E15" s="17" t="n">
        <x:v>108</x:v>
      </x:c>
      <x:c r="F15" s="16" t="str">
        <x:v>Existing checksum order prevents separating generated dependency checksums from primary source checksums.</x:v>
      </x:c>
      <x:c r="G15" s="16" t="str">
        <x:v>Removes nested possessives and explains the ordering problem.</x:v>
      </x:c>
      <x:c r="H15" s="16" t="str">
        <x:v>Copy only</x:v>
      </x:c>
      <x:c r="I15" s="16" t="str">
        <x:v>High</x:v>
      </x:c>
      <x:c r="J15" s="16" t="str">
        <x:v>Recommended</x:v>
      </x:c>
    </x:row>
    <x:row r="16" ht="54" customHeight="1">
      <x:c r="A16" s="14" t="str">
        <x:v>PC-011</x:v>
      </x:c>
      <x:c r="B16" s="14" t="str">
        <x:v>checking the existing %s against %s's source, the version now: %w</x:v>
      </x:c>
      <x:c r="C16" s="14" t="str">
        <x:v>checking existing %s against the source for current version %s: %w</x:v>
      </x:c>
      <x:c r="D16" s="14" t="str">
        <x:v>internal/macports/portedit/dependencies.go</x:v>
      </x:c>
      <x:c r="E16" s="15" t="n">
        <x:v>264</x:v>
      </x:c>
      <x:c r="F16" s="14" t="str">
        <x:v>Existing dependency declarations cannot be regenerated from the current release source.</x:v>
      </x:c>
      <x:c r="G16" s="14" t="str">
        <x:v>Preserves which release failed while removing an awkward trailing clarification.</x:v>
      </x:c>
      <x:c r="H16" s="14" t="str">
        <x:v>Copy only</x:v>
      </x:c>
      <x:c r="I16" s="14" t="str">
        <x:v>Medium</x:v>
      </x:c>
      <x:c r="J16" s="14" t="str">
        <x:v>Recommended</x:v>
      </x:c>
    </x:row>
    <x:row r="17" ht="54" customHeight="1">
      <x:c r="A17" s="16" t="str">
        <x:v>PC-012</x:v>
      </x:c>
      <x:c r="B17" s="16" t="str">
        <x:v>%w: existing %s keeps modules go2port leaves out, and %s's go.sum couldn't be read to see whether it still pins them: %w</x:v>
      </x:c>
      <x:c r="C17" s="16" t="str">
        <x:v>%w: existing %s includes modules omitted by go2port; could not read go.sum for %s to verify their pinned versions: %w</x:v>
      </x:c>
      <x:c r="D17" s="16" t="str">
        <x:v>internal/macports/portedit/dependencies.go</x:v>
      </x:c>
      <x:c r="E17" s="17" t="n">
        <x:v>348</x:v>
      </x:c>
      <x:c r="F17" s="16" t="str">
        <x:v>Update cannot verify manually retained Go modules against the new release go.sum.</x:v>
      </x:c>
      <x:c r="G17" s="16" t="str">
        <x:v>Breaks up the chain of clauses and explains the required verification.</x:v>
      </x:c>
      <x:c r="H17" s="16" t="str">
        <x:v>Copy only</x:v>
      </x:c>
      <x:c r="I17" s="16" t="str">
        <x:v>Medium</x:v>
      </x:c>
      <x:c r="J17" s="16" t="str">
        <x:v>Recommended</x:v>
      </x:c>
    </x:row>
    <x:row r="18" ht="60" customHeight="1">
      <x:c r="A18" s="14" t="str">
        <x:v>PC-013</x:v>
      </x:c>
      <x:c r="B18" s="14" t="str">
        <x:v>%w: existing %s keeps %s %s, which go2port leaves out, and %s's go.sum no longer pins it there; preserve this override with manual preparation</x:v>
      </x:c>
      <x:c r="C18" s="14" t="str">
        <x:v>%w: existing %s includes %s %s, which go2port omits, but go.sum for %s no longer pins that version; prepare the update manually to preserve the override</x:v>
      </x:c>
      <x:c r="D18" s="14" t="str">
        <x:v>internal/macports/portedit/dependencies.go</x:v>
      </x:c>
      <x:c r="E18" s="15" t="n">
        <x:v>352</x:v>
      </x:c>
      <x:c r="F18" s="14" t="str">
        <x:v>A manually retained Go dependency is not pinned at its declared version by the new release.</x:v>
      </x:c>
      <x:c r="G18" s="14" t="str">
        <x:v>Makes the mismatch and next action clear without the ambiguous there.</x:v>
      </x:c>
      <x:c r="H18" s="14" t="str">
        <x:v>Copy only</x:v>
      </x:c>
      <x:c r="I18" s="14" t="str">
        <x:v>Medium</x:v>
      </x:c>
      <x:c r="J18" s="14" t="str">
        <x:v>Recommended</x:v>
      </x:c>
    </x:row>
    <x:row r="19" ht="60" customHeight="1">
      <x:c r="A19" s="16" t="str">
        <x:v>PC-014</x:v>
      </x:c>
      <x:c r="B19" s="16" t="str">
        <x:v>%w: existing %s pins %s %s over the lock's %s, and %s's lock doesn't move past it; preserve this override with manual preparation</x:v>
      </x:c>
      <x:c r="C19" s="16" t="str">
        <x:v>%w: existing %s overrides %s to %s instead of the locked %s, and the lockfile for %s does not select a newer version than the override; prepare the update manually to preserve it</x:v>
      </x:c>
      <x:c r="D19" s="16" t="str">
        <x:v>internal/macports/portedit/dependencies.go</x:v>
      </x:c>
      <x:c r="E19" s="17" t="n">
        <x:v>364</x:v>
      </x:c>
      <x:c r="F19" s="16" t="str">
        <x:v>The new Cargo lockfile has not advanced beyond a manually pinned dependency override.</x:v>
      </x:c>
      <x:c r="G19" s="16" t="str">
        <x:v>Makes each version relationship explicit; replaces the ambiguous move past it.</x:v>
      </x:c>
      <x:c r="H19" s="16" t="str">
        <x:v>Copy only</x:v>
      </x:c>
      <x:c r="I19" s="16" t="str">
        <x:v>Medium</x:v>
      </x:c>
      <x:c r="J19" s="16" t="str">
        <x:v>Recommended</x:v>
      </x:c>
    </x:row>
    <x:row r="20" ht="54" customHeight="1">
      <x:c r="A20" s="14" t="str">
        <x:v>PC-015</x:v>
      </x:c>
      <x:c r="B20" s="14" t="str">
        <x:v>%w: cargo.update is on and %s's source ships no Cargo.lock, so its crates can't be regenerated: %w</x:v>
      </x:c>
      <x:c r="C20" s="14" t="str">
        <x:v>%w: cargo.update is enabled, but the source for %s contains no Cargo.lock; cannot regenerate crate dependencies: %w</x:v>
      </x:c>
      <x:c r="D20" s="14" t="str">
        <x:v>internal/macports/portedit/dependencies.go</x:v>
      </x:c>
      <x:c r="E20" s="15" t="n">
        <x:v>567</x:v>
      </x:c>
      <x:c r="F20" s="14" t="str">
        <x:v>Dependency regeneration requires a lockfile that is missing from the release source.</x:v>
      </x:c>
      <x:c r="G20" s="14" t="str">
        <x:v>Replaces loose conversational wording with the missing prerequisite.</x:v>
      </x:c>
      <x:c r="H20" s="14" t="str">
        <x:v>Copy only</x:v>
      </x:c>
      <x:c r="I20" s="14" t="str">
        <x:v>Medium</x:v>
      </x:c>
      <x:c r="J20" s="14" t="str">
        <x:v>Recommended</x:v>
      </x:c>
    </x:row>
    <x:row r="21" ht="60" customHeight="1">
      <x:c r="A21" s="16" t="str">
        <x:v>PC-016</x:v>
      </x:c>
      <x:c r="B21" s="16" t="str">
        <x:v>Warning: %s's go.mod couldn't be read, so go.toolchain_min wasn't checked against it: %v</x:v>
      </x:c>
      <x:c r="C21" s="16" t="str">
        <x:v>Warning: could not read go.mod for %s; go.toolchain_min was not checked: %v</x:v>
      </x:c>
      <x:c r="D21" s="16" t="str">
        <x:v>internal/macports/portedit/go_toolchain.go</x:v>
      </x:c>
      <x:c r="E21" s="17" t="n">
        <x:v>47</x:v>
      </x:c>
      <x:c r="F21" s="16" t="str">
        <x:v>Update continues when the new source go.mod cannot be read; unattended updates are held for review.</x:v>
      </x:c>
      <x:c r="G21" s="16" t="str">
        <x:v>Puts the failed operation first and removes the repeated pronoun.</x:v>
      </x:c>
      <x:c r="H21" s="16" t="str">
        <x:v>Copy only</x:v>
      </x:c>
      <x:c r="I21" s="16" t="str">
        <x:v>Medium</x:v>
      </x:c>
      <x:c r="J21" s="16" t="str">
        <x:v>Recommended</x:v>
      </x:c>
    </x:row>
    <x:row r="22" ht="60" customHeight="1">
      <x:c r="A22" s="14" t="str">
        <x:v>PC-017</x:v>
      </x:c>
      <x:c r="B22" s="14" t="str">
        <x:v>Warning: %s requires Go %s per go.mod, but pins %s; the pin may be obsolete</x:v>
      </x:c>
      <x:c r="C22" s="14" t="str">
        <x:v>Warning: %s requires Go %s in go.mod, but is pinned to %s; update or remove the pin before building</x:v>
      </x:c>
      <x:c r="D22" s="14" t="str">
        <x:v>internal/macports/portedit/go_toolchain.go</x:v>
      </x:c>
      <x:c r="E22" s="15" t="n">
        <x:v>59</x:v>
      </x:c>
      <x:c r="F22" s="14" t="str">
        <x:v>New release needs a newer Go version than the explicit Portfile toolchain pin.</x:v>
      </x:c>
      <x:c r="G22" s="14" t="str">
        <x:v>States the build-blocking action instead of an ambiguous suggestion that the pin may be obsolete.</x:v>
      </x:c>
      <x:c r="H22" s="14" t="str">
        <x:v>Copy only</x:v>
      </x:c>
      <x:c r="I22" s="14" t="str">
        <x:v>High</x:v>
      </x:c>
      <x:c r="J22" s="14" t="str">
        <x:v>Recommended</x:v>
      </x:c>
    </x:row>
    <x:row r="23" ht="54" customHeight="1">
      <x:c r="A23" s="16" t="str">
        <x:v>PC-018</x:v>
      </x:c>
      <x:c r="B23" s="16" t="str">
        <x:v>%s requires Go %s per go.mod and declares no go.toolchain_min; declaring it would gate the port on systems whose Go is older</x:v>
      </x:c>
      <x:c r="C23" s="16" t="str">
        <x:v>%s requires Go %s in go.mod but has no go.toolchain_min; add it to prevent builds with older Go versions</x:v>
      </x:c>
      <x:c r="D23" s="16" t="str">
        <x:v>internal/macports/portedit/go_toolchain.go</x:v>
      </x:c>
      <x:c r="E23" s="17" t="n">
        <x:v>67</x:v>
      </x:c>
      <x:c r="F23" s="16" t="str">
        <x:v>Update notices that the Portfile has no minimum Go declaration.</x:v>
      </x:c>
      <x:c r="G23" s="16" t="str">
        <x:v>Explains the practical purpose of the declaration rather than using gate jargon.</x:v>
      </x:c>
      <x:c r="H23" s="16" t="str">
        <x:v>Copy only</x:v>
      </x:c>
      <x:c r="I23" s="16" t="str">
        <x:v>Medium</x:v>
      </x:c>
      <x:c r="J23" s="16" t="str">
        <x:v>Recommended</x:v>
      </x:c>
    </x:row>
    <x:row r="24" ht="54" customHeight="1">
      <x:c r="A24" s="14" t="str">
        <x:v>PC-019</x:v>
      </x:c>
      <x:c r="B24" s="14" t="str">
        <x:v>Warning: %s requires Go %s per go.mod but go.toolchain_min %s is not a single literal declaration; raise it by hand</x:v>
      </x:c>
      <x:c r="C24" s="14" t="str">
        <x:v>Warning: %s requires Go %s in go.mod; go.toolchain_min is %s and cannot be updated automatically. Raise it manually</x:v>
      </x:c>
      <x:c r="D24" s="14" t="str">
        <x:v>internal/macports/portedit/go_toolchain.go</x:v>
      </x:c>
      <x:c r="E24" s="15" t="n">
        <x:v>77</x:v>
      </x:c>
      <x:c r="F24" s="14" t="str">
        <x:v>The minimum Go declaration is below the required version but is not safely rewritable.</x:v>
      </x:c>
      <x:c r="G24" s="14" t="str">
        <x:v>Separates the required version, automation limit, and next step.</x:v>
      </x:c>
      <x:c r="H24" s="14" t="str">
        <x:v>Copy only</x:v>
      </x:c>
      <x:c r="I24" s="14" t="str">
        <x:v>Medium</x:v>
      </x:c>
      <x:c r="J24" s="14" t="str">
        <x:v>Recommended</x:v>
      </x:c>
    </x:row>
    <x:row r="25" ht="54" customHeight="1">
      <x:c r="A25" s="16" t="str">
        <x:v>PC-020</x:v>
      </x:c>
      <x:c r="B25" s="16" t="str">
        <x:v>Warning: removing %s's stealth dist_subdir would also change %s; it is left for you</x:v>
      </x:c>
      <x:c r="C25" s="16" t="str">
        <x:v>Warning: removing dist_subdir for %s would also change %s; left unchanged for manual review</x:v>
      </x:c>
      <x:c r="D25" s="16" t="str">
        <x:v>internal/macports/portedit/stealth.go</x:v>
      </x:c>
      <x:c r="E25" s="17" t="n">
        <x:v>151</x:v>
      </x:c>
      <x:c r="F25" s="16" t="str">
        <x:v>Cleanup of a stealth-update dist_subdir would cause other evaluated changes.</x:v>
      </x:c>
      <x:c r="G25" s="16" t="str">
        <x:v>Identifies what was left unchanged and why review is required.</x:v>
      </x:c>
      <x:c r="H25" s="16" t="str">
        <x:v>Copy only</x:v>
      </x:c>
      <x:c r="I25" s="16" t="str">
        <x:v>Medium</x:v>
      </x:c>
      <x:c r="J25" s="16" t="str">
        <x:v>Recommended</x:v>
      </x:c>
    </x:row>
    <x:row r="26" ht="60" customHeight="1">
      <x:c r="A26" s="14" t="str">
        <x:v>PC-021</x:v>
      </x:c>
      <x:c r="B26" s="14" t="str">
        <x:v>%w: dist_subdir follows the revision, so without a revision bump the new archive would land where the old one is</x:v>
      </x:c>
      <x:c r="C26" s="14" t="str">
        <x:v>%w: dist_subdir depends on revision; without a revision bump, the new archive would use the same mirror path as the old archive</x:v>
      </x:c>
      <x:c r="D26" s="14" t="str">
        <x:v>internal/macports/portfile/distsubdir.go</x:v>
      </x:c>
      <x:c r="E26" s="15" t="n">
        <x:v>46</x:v>
      </x:c>
      <x:c r="F26" s="14" t="str">
        <x:v>Stealth update cannot set a distinct archive location because dist_subdir already varies with revision.</x:v>
      </x:c>
      <x:c r="G26" s="14" t="str">
        <x:v>Replaces follows and land with the actual variable dependency and path collision.</x:v>
      </x:c>
      <x:c r="H26" s="14" t="str">
        <x:v>Copy only</x:v>
      </x:c>
      <x:c r="I26" s="14" t="str">
        <x:v>Medium</x:v>
      </x:c>
      <x:c r="J26" s="14" t="str">
        <x:v>Recommended</x:v>
      </x:c>
    </x:row>
    <x:row r="27" ht="60" customHeight="1">
      <x:c r="A27" s="16" t="str">
        <x:v>PC-022</x:v>
      </x:c>
      <x:c r="B27" s="16" t="str">
        <x:v>the release of %s has no files yet, which update fetches; it's not ready</x:v>
      </x:c>
      <x:c r="C27" s="16" t="str">
        <x:v>release %s has no downloadable assets yet; the update is not ready</x:v>
      </x:c>
      <x:c r="D27" s="16" t="str">
        <x:v>internal/upstream/latest.go</x:v>
      </x:c>
      <x:c r="E27" s="17" t="n">
        <x:v>64</x:v>
      </x:c>
      <x:c r="F27" s="16" t="str">
        <x:v>Outdated results mark a newer release as unpublished when its expected release assets are absent.</x:v>
      </x:c>
      <x:c r="G27" s="16" t="str">
        <x:v>Explains the missing prerequisite without a confusing relative clause.</x:v>
      </x:c>
      <x:c r="H27" s="16" t="str">
        <x:v>Copy only</x:v>
      </x:c>
      <x:c r="I27" s="16" t="str">
        <x:v>High</x:v>
      </x:c>
      <x:c r="J27" s="16" t="str">
        <x:v>Recommended</x:v>
      </x:c>
    </x:row>
    <x:row r="28" ht="54" customHeight="1">
      <x:c r="A28" s="14" t="str">
        <x:v>PC-023</x:v>
      </x:c>
      <x:c r="B28" s="14" t="str">
        <x:v>it fetches nothing here, and no livecheck reads its version</x:v>
      </x:c>
      <x:c r="C28" s="14" t="str">
        <x:v>no source is fetched on this platform, and livecheck does not use the port version</x:v>
      </x:c>
      <x:c r="D28" s="14" t="str">
        <x:v>internal/upstream/latest.go</x:v>
      </x:c>
      <x:c r="E28" s="15" t="n">
        <x:v>95</x:v>
      </x:c>
      <x:c r="F28" s="14" t="str">
        <x:v>Outdated detail for a port whose version is maintained by MacPorts.</x:v>
      </x:c>
      <x:c r="G28" s="14" t="str">
        <x:v>Replaces vague here and reads its version with the relevant platform and behavior.</x:v>
      </x:c>
      <x:c r="H28" s="14" t="str">
        <x:v>Copy only</x:v>
      </x:c>
      <x:c r="I28" s="14" t="str">
        <x:v>Medium</x:v>
      </x:c>
      <x:c r="J28" s="14" t="str">
        <x:v>Recommended</x:v>
      </x:c>
    </x:row>
    <x:row r="29" ht="54" customHeight="1">
      <x:c r="A29" s="16" t="str">
        <x:v>PC-024</x:v>
      </x:c>
      <x:c r="B29" s="16" t="str">
        <x:v>Can't tell whether current at %s: set aside %s, older than %s though it compares newer</x:v>
      </x:c>
      <x:c r="C29" s="16" t="str">
        <x:v>Cannot determine whether %s is current: excluded %s because it predates %s despite having a higher version</x:v>
      </x:c>
      <x:c r="D29" s="16" t="str">
        <x:v>internal/upstream/latest.go</x:v>
      </x:c>
      <x:c r="E29" s="17" t="n">
        <x:v>241</x:v>
      </x:c>
      <x:c r="F29" s="16" t="str">
        <x:v>Outdated finds candidate tags that compare newer but predate the current tag.</x:v>
      </x:c>
      <x:c r="G29" s="16" t="str">
        <x:v>Explains the conflict in the two signals and avoids the cryptic set aside wording.</x:v>
      </x:c>
      <x:c r="H29" s="16" t="str">
        <x:v>Copy only</x:v>
      </x:c>
      <x:c r="I29" s="16" t="str">
        <x:v>Medium</x:v>
      </x:c>
      <x:c r="J29" s="16" t="str">
        <x:v>Recommended</x:v>
      </x:c>
    </x:row>
    <x:row r="30" ht="54" customHeight="1">
      <x:c r="A30" s="14" t="str">
        <x:v>PC-025</x:v>
      </x:c>
      <x:c r="B30" s="14" t="str">
        <x:v>; set aside %s, older than %s though it compares newer</x:v>
      </x:c>
      <x:c r="C30" s="14" t="str">
        <x:v>; excluded %s because it predates %s despite having a higher version</x:v>
      </x:c>
      <x:c r="D30" s="14" t="str">
        <x:v>internal/upstream/latest.go</x:v>
      </x:c>
      <x:c r="E30" s="15" t="n">
        <x:v>260</x:v>
      </x:c>
      <x:c r="F30" s="14" t="str">
        <x:v>Additional detail when automatic selection excludes chronologically older tags.</x:v>
      </x:c>
      <x:c r="G30" s="14" t="str">
        <x:v>Makes the reason for exclusion easier to parse.</x:v>
      </x:c>
      <x:c r="H30" s="14" t="str">
        <x:v>Copy only</x:v>
      </x:c>
      <x:c r="I30" s="14" t="str">
        <x:v>Medium</x:v>
      </x:c>
      <x:c r="J30" s="14" t="str">
        <x:v>Recommended</x:v>
      </x:c>
    </x:row>
    <x:row r="31" ht="54" customHeight="1">
      <x:c r="A31" s="16" t="str">
        <x:v>PC-026</x:v>
      </x:c>
      <x:c r="B31" s="16" t="str">
        <x:v>%w: %s fetches nothing here, and no livecheck reads its version; name the version to set: dockhand update %s &lt;version&gt;</x:v>
      </x:c>
      <x:c r="C31" s="16" t="str">
        <x:v>%w: %s fetches no source on this platform, and livecheck does not use its version; specify a version with dockhand update %s &lt;version&gt;</x:v>
      </x:c>
      <x:c r="D31" s="16" t="str">
        <x:v>internal/upstream/resolve.go</x:v>
      </x:c>
      <x:c r="E31" s="17" t="n">
        <x:v>40</x:v>
      </x:c>
      <x:c r="F31" s="16" t="str">
        <x:v>Automatic update is requested for a port whose version is maintained by MacPorts.</x:v>
      </x:c>
      <x:c r="G31" s="16" t="str">
        <x:v>Clarifies why an explicit version is needed and presents the command directly.</x:v>
      </x:c>
      <x:c r="H31" s="16" t="str">
        <x:v>Copy only</x:v>
      </x:c>
      <x:c r="I31" s="16" t="str">
        <x:v>Medium</x:v>
      </x:c>
      <x:c r="J31" s="16" t="str">
        <x:v>Recommended</x:v>
      </x:c>
    </x:row>
    <x:row r="32" ht="60" customHeight="1">
      <x:c r="A32" s="14" t="str">
        <x:v>PC-027</x:v>
      </x:c>
      <x:c r="B32" s="14" t="str">
        <x:v>upstream: the port's git.url is no forge's https address</x:v>
      </x:c>
      <x:c r="C32" s="14" t="str">
        <x:v>upstream: the port's git.url must be an HTTPS repository URL on a supported forge</x:v>
      </x:c>
      <x:c r="D32" s="14" t="str">
        <x:v>internal/upstream/source_archive.go</x:v>
      </x:c>
      <x:c r="E32" s="15" t="n">
        <x:v>63</x:v>
      </x:c>
      <x:c r="F32" s="14" t="str">
        <x:v>Source comparison cannot resolve a Git-fetched source URL because parsing fails or its scheme is not HTTPS.</x:v>
      </x:c>
      <x:c r="G32" s="14" t="str">
        <x:v>Replaces unnatural phrasing with the expected URL form.</x:v>
      </x:c>
      <x:c r="H32" s="14" t="str">
        <x:v>Copy only</x:v>
      </x:c>
      <x:c r="I32" s="14" t="str">
        <x:v>Medium</x:v>
      </x:c>
      <x:c r="J32" s="14" t="str">
        <x:v>Recommended</x:v>
      </x:c>
    </x:row>
    <x:row r="33" ht="54" customHeight="1">
      <x:c r="A33" s="16" t="str">
        <x:v>PC-028</x:v>
      </x:c>
      <x:c r="B33" s="16" t="str">
        <x:v>upstream: %s is no forge dockhand reads archives from</x:v>
      </x:c>
      <x:c r="C33" s="16" t="str">
        <x:v>upstream: downloading source archives from %s is not supported</x:v>
      </x:c>
      <x:c r="D33" s="16" t="str">
        <x:v>internal/upstream/source_archive.go</x:v>
      </x:c>
      <x:c r="E33" s="17" t="n">
        <x:v>73</x:v>
      </x:c>
      <x:c r="F33" s="16" t="str">
        <x:v>Git source archive retrieval encounters a host other than the supported forge hosts.</x:v>
      </x:c>
      <x:c r="G33" s="16" t="str">
        <x:v>States the capability limit plainly.</x:v>
      </x:c>
      <x:c r="H33" s="16" t="str">
        <x:v>Copy only</x:v>
      </x:c>
      <x:c r="I33" s="16" t="str">
        <x:v>Medium</x:v>
      </x:c>
      <x:c r="J33" s="16" t="str">
        <x:v>Recommended</x:v>
      </x:c>
    </x:row>
  </x:sheetData>
  <x:conditionalFormatting sqref="I6:I33">
    <x:cfRule type="containsText" dxfId="8" priority="1" operator="containsText" text="High"/>
  </x:conditionalFormatting>
  <x:conditionalFormatting sqref="J6:J33">
    <x:cfRule type="containsText" dxfId="9" priority="2" operator="containsText" text="Alternative"/>
  </x:conditionalFormatting>
  <x:pageMargins left="0.7" right="0.7" top="0.75" bottom="0.75" header="0.3" footer="0.3"/>
  <x:tableParts count="1">
    <x:tablePart xmlns:r="http://schemas.openxmlformats.org/officeDocument/2006/relationships" r:id="R140745b7792c46f6"/>
  </x:tableParts>
</x:worksheet>
</file>

<file path=xl/worksheets/sheet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1" hidden="0" customWidth="1"/>
    <x:col min="2" max="2" width="72" hidden="0" customWidth="1"/>
    <x:col min="3" max="3" width="72" hidden="0" customWidth="1"/>
    <x:col min="4" max="4" width="49" hidden="0" customWidth="1"/>
    <x:col min="5" max="5" width="8" hidden="0" customWidth="1"/>
    <x:col min="6" max="6" width="51" hidden="0" customWidth="1"/>
    <x:col min="7" max="7" width="51" hidden="0" customWidth="1"/>
    <x:col min="8" max="8" width="57" hidden="0" customWidth="1"/>
    <x:col min="9" max="9" width="12" hidden="0" customWidth="1"/>
    <x:col min="10" max="10" width="18" hidden="0" customWidth="1"/>
  </x:cols>
  <x:sheetData>
    <x:row r="1">
      <x:c r="A1" s="1"/>
      <x:c r="B1" s="1"/>
      <x:c r="C1" s="1"/>
      <x:c r="D1" s="1"/>
      <x:c r="E1" s="1"/>
      <x:c r="F1" s="1"/>
      <x:c r="G1" s="1"/>
      <x:c r="H1" s="1"/>
      <x:c r="I1" s="1"/>
      <x:c r="J1" s="1"/>
    </x:row>
    <x:row r="2" ht="30" customHeight="1">
      <x:c r="A2" s="1"/>
      <x:c r="B2" s="2" t="str">
        <x:v>GitHub login</x:v>
      </x:c>
      <x:c r="C2" s="1"/>
      <x:c r="D2" s="1"/>
      <x:c r="E2" s="1"/>
      <x:c r="F2" s="1"/>
      <x:c r="G2" s="1"/>
      <x:c r="H2" s="1"/>
      <x:c r="I2" s="1"/>
      <x:c r="J2" s="1"/>
    </x:row>
    <x:row r="3">
      <x:c r="A3" s="3"/>
      <x:c r="B3" s="11" t="str">
        <x:v>8 proposals. Source files are relative to ~/Source/dockhand2.</x:v>
      </x:c>
      <x:c r="C3" s="3"/>
      <x:c r="D3" s="3"/>
      <x:c r="E3" s="3"/>
      <x:c r="F3" s="3"/>
      <x:c r="G3" s="3"/>
      <x:c r="H3" s="3"/>
      <x:c r="I3" s="3"/>
      <x:c r="J3" s="3"/>
    </x:row>
    <x:row r="4">
      <x:c r="A4" s="1"/>
      <x:c r="B4" s="1"/>
      <x:c r="C4" s="1"/>
      <x:c r="D4" s="1"/>
      <x:c r="E4" s="1"/>
      <x:c r="F4" s="1"/>
      <x:c r="G4" s="1"/>
      <x:c r="H4" s="1"/>
      <x:c r="I4" s="1"/>
      <x:c r="J4" s="1"/>
    </x:row>
    <x:row r="5" ht="30" customHeight="1">
      <x:c r="A5" s="12" t="str">
        <x:v>ID</x:v>
      </x:c>
      <x:c r="B5" s="12" t="str">
        <x:v>Current message</x:v>
      </x:c>
      <x:c r="C5" s="12" t="str">
        <x:v>Proposed message</x:v>
      </x:c>
      <x:c r="D5" s="12" t="str">
        <x:v>File</x:v>
      </x:c>
      <x:c r="E5" s="12" t="str">
        <x:v>Line</x:v>
      </x:c>
      <x:c r="F5" s="12" t="str">
        <x:v>Context</x:v>
      </x:c>
      <x:c r="G5" s="12" t="str">
        <x:v>Why change it</x:v>
      </x:c>
      <x:c r="H5" s="12" t="str">
        <x:v>Implementation notes</x:v>
      </x:c>
      <x:c r="I5" s="12" t="str">
        <x:v>Priority</x:v>
      </x:c>
      <x:c r="J5" s="12" t="str">
        <x:v>Proposal</x:v>
      </x:c>
    </x:row>
    <x:row r="6" ht="60" customHeight="1">
      <x:c r="A6" s="14" t="str">
        <x:v>GH-001</x:v>
      </x:c>
      <x:c r="B6" s="14" t="str">
        <x:v>github: the saved login can't renew itself</x:v>
      </x:c>
      <x:c r="C6" s="14" t="str">
        <x:v>github: the saved login can no longer be renewed</x:v>
      </x:c>
      <x:c r="D6" s="14" t="str">
        <x:v>internal/github/login.go</x:v>
      </x:c>
      <x:c r="E6" s="15" t="n">
        <x:v>131</x:v>
      </x:c>
      <x:c r="F6" s="14" t="str">
        <x:v>Authentication error category used when a saved login cannot be refreshed.</x:v>
      </x:c>
      <x:c r="G6" s="14" t="str">
        <x:v>States the renewal failure plainly. Keep sign-in instructions in the wrapping error to avoid repeating them.</x:v>
      </x:c>
      <x:c r="H6" s="14" t="str">
        <x:v>Copy only</x:v>
      </x:c>
      <x:c r="I6" s="14" t="str">
        <x:v>Medium</x:v>
      </x:c>
      <x:c r="J6" s="14" t="str">
        <x:v>Recommended</x:v>
      </x:c>
    </x:row>
    <x:row r="7" ht="54" customHeight="1">
      <x:c r="A7" s="16" t="str">
        <x:v>GH-002</x:v>
      </x:c>
      <x:c r="B7" s="16" t="str">
        <x:v>%w: the saved GitHub login is from an earlier dockhand; run dockhand setup github</x:v>
      </x:c>
      <x:c r="C7" s="16" t="str">
        <x:v>%w: the saved GitHub login uses an older format; run dockhand setup github to sign in again</x:v>
      </x:c>
      <x:c r="D7" s="16" t="str">
        <x:v>internal/github/login.go</x:v>
      </x:c>
      <x:c r="E7" s="17" t="n">
        <x:v>140</x:v>
      </x:c>
      <x:c r="F7" s="16" t="str">
        <x:v>Saved credentials cannot be decoded as a renewable login.</x:v>
      </x:c>
      <x:c r="G7" s="16" t="str">
        <x:v>Explains why signing in again is necessary without referring vaguely to an earlier dockhand.</x:v>
      </x:c>
      <x:c r="H7" s="16" t="str">
        <x:v>Copy only</x:v>
      </x:c>
      <x:c r="I7" s="16" t="str">
        <x:v>Medium</x:v>
      </x:c>
      <x:c r="J7" s="16" t="str">
        <x:v>Recommended</x:v>
      </x:c>
    </x:row>
    <x:row r="8" ht="54" customHeight="1">
      <x:c r="A8" s="14" t="str">
        <x:v>GH-003</x:v>
      </x:c>
      <x:c r="B8" s="14" t="str">
        <x:v>%w: the GitHub login expired after six months unused; run dockhand setup github</x:v>
      </x:c>
      <x:c r="C8" s="14" t="str">
        <x:v>%w: the GitHub login expired after six months of inactivity; run dockhand setup github to sign in again</x:v>
      </x:c>
      <x:c r="D8" s="14" t="str">
        <x:v>internal/github/login.go</x:v>
      </x:c>
      <x:c r="E8" s="15" t="n">
        <x:v>141</x:v>
      </x:c>
      <x:c r="F8" s="14" t="str">
        <x:v>The saved refresh token has expired.</x:v>
      </x:c>
      <x:c r="G8" s="14" t="str">
        <x:v>Uses natural phrasing and states what the command does.</x:v>
      </x:c>
      <x:c r="H8" s="14" t="str">
        <x:v>Copy only</x:v>
      </x:c>
      <x:c r="I8" s="14" t="str">
        <x:v>Medium</x:v>
      </x:c>
      <x:c r="J8" s="14" t="str">
        <x:v>Recommended</x:v>
      </x:c>
    </x:row>
    <x:row r="9" ht="60" customHeight="1">
      <x:c r="A9" s="16" t="str">
        <x:v>GH-004</x:v>
      </x:c>
      <x:c r="B9" s="16" t="str">
        <x:v>github: waiting to renew the GitHub login, which another dockhand is renewing: %w</x:v>
      </x:c>
      <x:c r="C9" s="16" t="str">
        <x:v>github: could not acquire the lock to renew the GitHub login: %w</x:v>
      </x:c>
      <x:c r="D9" s="16" t="str">
        <x:v>internal/github/login.go</x:v>
      </x:c>
      <x:c r="E9" s="17" t="n">
        <x:v>174</x:v>
      </x:c>
      <x:c r="F9" s="16" t="str">
        <x:v>Acquiring the login-renewal lock fails or times out.</x:v>
      </x:c>
      <x:c r="G9" s="16" t="str">
        <x:v>Names the actual failure; the current message incorrectly asserts another process is renewing on every lock error.</x:v>
      </x:c>
      <x:c r="H9" s="16" t="str">
        <x:v>Copy only</x:v>
      </x:c>
      <x:c r="I9" s="16" t="str">
        <x:v>High</x:v>
      </x:c>
      <x:c r="J9" s="16" t="str">
        <x:v>Recommended</x:v>
      </x:c>
    </x:row>
    <x:row r="10" ht="54" customHeight="1">
      <x:c r="A10" s="14" t="str">
        <x:v>GH-005</x:v>
      </x:c>
      <x:c r="B10" s="14" t="str">
        <x:v>github: the saved GitHub login can't be read: %w, or GH_TOKEN set for the command stands in for it</x:v>
      </x:c>
      <x:c r="C10" s="14" t="str">
        <x:v>github: cannot read the saved GitHub login: %w; unlock the Keychain or set GH_TOKEN for this command</x:v>
      </x:c>
      <x:c r="D10" s="14" t="str">
        <x:v>internal/github/login.go</x:v>
      </x:c>
      <x:c r="E10" s="15" t="n">
        <x:v>221</x:v>
      </x:c>
      <x:c r="F10" s="14" t="str">
        <x:v>Keychain returns credential.ErrLocked while reading the saved login.</x:v>
      </x:c>
      <x:c r="G10" s="14" t="str">
        <x:v>Makes the two recovery options explicit and removes a tangled sentence.</x:v>
      </x:c>
      <x:c r="H10" s="14" t="str">
        <x:v>Copy only</x:v>
      </x:c>
      <x:c r="I10" s="14" t="str">
        <x:v>High</x:v>
      </x:c>
      <x:c r="J10" s="14" t="str">
        <x:v>Recommended</x:v>
      </x:c>
    </x:row>
    <x:row r="11" ht="60" customHeight="1">
      <x:c r="A11" s="16" t="str">
        <x:v>GH-006</x:v>
      </x:c>
      <x:c r="B11" s="16" t="str">
        <x:v>Couldn't save the renewed GitHub login to the Keychain (%v); this dockhand uses it, and tries again. If it ends first, run dockhand setup github.</x:v>
      </x:c>
      <x:c r="C11" s="16" t="str">
        <x:v>Could not save the renewed GitHub login to the Keychain (%v). Dockhand will use it for this session and retry saving it. If Dockhand exits before saving it, run dockhand setup github to sign in again.</x:v>
      </x:c>
      <x:c r="D11" s="16" t="str">
        <x:v>internal/github/login.go</x:v>
      </x:c>
      <x:c r="E11" s="17" t="n">
        <x:v>244</x:v>
      </x:c>
      <x:c r="F11" s="16" t="str">
        <x:v>Progress warning when refreshed credentials work in memory but cannot be saved.</x:v>
      </x:c>
      <x:c r="G11" s="16" t="str">
        <x:v>Clarifies what is retried and why exiting may require a new sign-in.</x:v>
      </x:c>
      <x:c r="H11" s="16" t="str">
        <x:v>Copy only</x:v>
      </x:c>
      <x:c r="I11" s="16" t="str">
        <x:v>High</x:v>
      </x:c>
      <x:c r="J11" s="16" t="str">
        <x:v>Recommended</x:v>
      </x:c>
    </x:row>
    <x:row r="12" ht="54" customHeight="1">
      <x:c r="A12" s="14" t="str">
        <x:v>GH-007</x:v>
      </x:c>
      <x:c r="B12" s="14" t="str">
        <x:v>github: renewing the GitHub login, which stays as it was: %w</x:v>
      </x:c>
      <x:c r="C12" s="14" t="str">
        <x:v>github: could not renew the GitHub login; the saved credentials are unchanged: %w</x:v>
      </x:c>
      <x:c r="D12" s="14" t="str">
        <x:v>internal/github/login.go</x:v>
      </x:c>
      <x:c r="E12" s="15" t="n">
        <x:v>263</x:v>
      </x:c>
      <x:c r="F12" s="14" t="str">
        <x:v>GitHub refresh fails for a transient or unclassified reason.</x:v>
      </x:c>
      <x:c r="G12" s="14" t="str">
        <x:v>Replaces an awkward relative clause with a clear failure and state.</x:v>
      </x:c>
      <x:c r="H12" s="14" t="str">
        <x:v>Copy only</x:v>
      </x:c>
      <x:c r="I12" s="14" t="str">
        <x:v>Medium</x:v>
      </x:c>
      <x:c r="J12" s="14" t="str">
        <x:v>Recommended</x:v>
      </x:c>
    </x:row>
    <x:row r="13" ht="54" customHeight="1">
      <x:c r="A13" s="16" t="str">
        <x:v>GH-008</x:v>
      </x:c>
      <x:c r="B13" s="16" t="str">
        <x:v>github: GitHub renewed the login without an expiry; it stays as it was</x:v>
      </x:c>
      <x:c r="C13" s="16" t="str">
        <x:v>github: GitHub returned incomplete login details; the saved credentials are unchanged</x:v>
      </x:c>
      <x:c r="D13" s="16" t="str">
        <x:v>internal/github/login.go</x:v>
      </x:c>
      <x:c r="E13" s="17" t="n">
        <x:v>275</x:v>
      </x:c>
      <x:c r="F13" s="16" t="str">
        <x:v>A refresh response fails credential.Login.Complete().</x:v>
      </x:c>
      <x:c r="G13" s="16" t="str">
        <x:v>The check covers more than expiry; describe incomplete details accurately.</x:v>
      </x:c>
      <x:c r="H13" s="16" t="str">
        <x:v>Copy only</x:v>
      </x:c>
      <x:c r="I13" s="16" t="str">
        <x:v>High</x:v>
      </x:c>
      <x:c r="J13" s="16" t="str">
        <x:v>Recommended</x:v>
      </x:c>
    </x:row>
  </x:sheetData>
  <x:conditionalFormatting sqref="I6:I13">
    <x:cfRule type="containsText" dxfId="10" priority="1" operator="containsText" text="High"/>
  </x:conditionalFormatting>
  <x:conditionalFormatting sqref="J6:J13">
    <x:cfRule type="containsText" dxfId="11" priority="2" operator="containsText" text="Alternative"/>
  </x:conditionalFormatting>
  <x:pageMargins left="0.7" right="0.7" top="0.75" bottom="0.75" header="0.3" footer="0.3"/>
  <x:tableParts count="1">
    <x:tablePart xmlns:r="http://schemas.openxmlformats.org/officeDocument/2006/relationships" r:id="R16f4606fc43e415f"/>
  </x:tableParts>
</x:worksheet>
</file>

<file path=xl/worksheets/sheet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1" hidden="0" customWidth="1"/>
    <x:col min="2" max="2" width="72" hidden="0" customWidth="1"/>
    <x:col min="3" max="3" width="72" hidden="0" customWidth="1"/>
    <x:col min="4" max="4" width="49" hidden="0" customWidth="1"/>
    <x:col min="5" max="5" width="8" hidden="0" customWidth="1"/>
    <x:col min="6" max="6" width="51" hidden="0" customWidth="1"/>
    <x:col min="7" max="7" width="51" hidden="0" customWidth="1"/>
    <x:col min="8" max="8" width="57" hidden="0" customWidth="1"/>
    <x:col min="9" max="9" width="12" hidden="0" customWidth="1"/>
    <x:col min="10" max="10" width="18" hidden="0" customWidth="1"/>
  </x:cols>
  <x:sheetData>
    <x:row r="1">
      <x:c r="A1" s="1"/>
      <x:c r="B1" s="1"/>
      <x:c r="C1" s="1"/>
      <x:c r="D1" s="1"/>
      <x:c r="E1" s="1"/>
      <x:c r="F1" s="1"/>
      <x:c r="G1" s="1"/>
      <x:c r="H1" s="1"/>
      <x:c r="I1" s="1"/>
      <x:c r="J1" s="1"/>
    </x:row>
    <x:row r="2" ht="30" customHeight="1">
      <x:c r="A2" s="1"/>
      <x:c r="B2" s="2" t="str">
        <x:v>User guides</x:v>
      </x:c>
      <x:c r="C2" s="1"/>
      <x:c r="D2" s="1"/>
      <x:c r="E2" s="1"/>
      <x:c r="F2" s="1"/>
      <x:c r="G2" s="1"/>
      <x:c r="H2" s="1"/>
      <x:c r="I2" s="1"/>
      <x:c r="J2" s="1"/>
    </x:row>
    <x:row r="3">
      <x:c r="A3" s="3"/>
      <x:c r="B3" s="11" t="str">
        <x:v>39 proposals. Source files are relative to ~/Source/dockhand2.</x:v>
      </x:c>
      <x:c r="C3" s="3"/>
      <x:c r="D3" s="3"/>
      <x:c r="E3" s="3"/>
      <x:c r="F3" s="3"/>
      <x:c r="G3" s="3"/>
      <x:c r="H3" s="3"/>
      <x:c r="I3" s="3"/>
      <x:c r="J3" s="3"/>
    </x:row>
    <x:row r="4">
      <x:c r="A4" s="1"/>
      <x:c r="B4" s="1"/>
      <x:c r="C4" s="1"/>
      <x:c r="D4" s="1"/>
      <x:c r="E4" s="1"/>
      <x:c r="F4" s="1"/>
      <x:c r="G4" s="1"/>
      <x:c r="H4" s="1"/>
      <x:c r="I4" s="1"/>
      <x:c r="J4" s="1"/>
    </x:row>
    <x:row r="5" ht="30" customHeight="1">
      <x:c r="A5" s="12" t="str">
        <x:v>ID</x:v>
      </x:c>
      <x:c r="B5" s="12" t="str">
        <x:v>Current message</x:v>
      </x:c>
      <x:c r="C5" s="12" t="str">
        <x:v>Proposed message</x:v>
      </x:c>
      <x:c r="D5" s="12" t="str">
        <x:v>File</x:v>
      </x:c>
      <x:c r="E5" s="12" t="str">
        <x:v>Line</x:v>
      </x:c>
      <x:c r="F5" s="12" t="str">
        <x:v>Context</x:v>
      </x:c>
      <x:c r="G5" s="12" t="str">
        <x:v>Why change it</x:v>
      </x:c>
      <x:c r="H5" s="12" t="str">
        <x:v>Implementation notes</x:v>
      </x:c>
      <x:c r="I5" s="12" t="str">
        <x:v>Priority</x:v>
      </x:c>
      <x:c r="J5" s="12" t="str">
        <x:v>Proposal</x:v>
      </x:c>
    </x:row>
    <x:row r="6" ht="60" customHeight="1">
      <x:c r="A6" s="14" t="str">
        <x:v>DOC-001</x:v>
      </x:c>
      <x:c r="B6" s="14" t="str">
        <x:v>`check` runs the command once for each attempt. Trouble with the environment is tried again, up to three attempts in all, and a verdict is never repeated.</x:v>
      </x:c>
      <x:c r="C6" s="14" t="str">
        <x:v>`check` runs the command once per attempt. It retries environment failures up to a total of three attempts. It does not automatically retry a port build failure.</x:v>
      </x:c>
      <x:c r="D6" s="14" t="str">
        <x:v>docs/command-provider.md</x:v>
      </x:c>
      <x:c r="E6" s="15" t="n">
        <x:v>19</x:v>
      </x:c>
      <x:c r="F6" s="14" t="str">
        <x:v>Command-provider retry policy.</x:v>
      </x:c>
      <x:c r="G6" s="14" t="str">
        <x:v>Uses the same vocabulary as the proposed GitHub-provider explanation.</x:v>
      </x:c>
      <x:c r="H6" s="14" t="str">
        <x:v>Replace this prose excerpt in place. Preserve surrounding text.</x:v>
      </x:c>
      <x:c r="I6" s="14" t="str">
        <x:v>Medium</x:v>
      </x:c>
      <x:c r="J6" s="14" t="str">
        <x:v>Recommended</x:v>
      </x:c>
    </x:row>
    <x:row r="7" ht="90" customHeight="1">
      <x:c r="A7" s="16" t="str">
        <x:v>DOC-002</x:v>
      </x:c>
      <x:c r="B7" s="16" t="str">
        <x:v>So a `port` it started isn't left holding MacPorts' lock. It can't prompt: a `sudo` in it must not ask for a password, as under serve, where there is no terminal either. One that asks fails at once, and says so in `command.log`.</x:v>
      </x:c>
      <x:c r="C7" s="16" t="str">
        <x:v>This prevents child processes such as `port` from keeping the MacPorts lock after the check stops. The script has no terminal, so it must run without prompts, including `sudo` password prompts. A command that requires a terminal fails immediately and records the error in `command.log`.</x:v>
      </x:c>
      <x:c r="D7" s="16" t="str">
        <x:v>docs/command-provider.md</x:v>
      </x:c>
      <x:c r="E7" s="17" t="n">
        <x:v>29</x:v>
      </x:c>
      <x:c r="F7" s="16" t="str">
        <x:v>Script process cleanup and terminal requirements.</x:v>
      </x:c>
      <x:c r="G7" s="16" t="str">
        <x:v>Names the process and prompt restriction without ambiguous pronouns.</x:v>
      </x:c>
      <x:c r="H7" s="16" t="str">
        <x:v>Replace this prose excerpt in place. Preserve surrounding text.</x:v>
      </x:c>
      <x:c r="I7" s="16" t="str">
        <x:v>Medium</x:v>
      </x:c>
      <x:c r="J7" s="16" t="str">
        <x:v>Recommended</x:v>
      </x:c>
    </x:row>
    <x:row r="8" ht="54" customHeight="1">
      <x:c r="A8" s="14" t="str">
        <x:v>DOC-003</x:v>
      </x:c>
      <x:c r="B8" s="14" t="str">
        <x:v>A port's own failure is a verdict and is not retried.</x:v>
      </x:c>
      <x:c r="C8" s="14" t="str">
        <x:v>Dockhand does not automatically retry a port build failure.</x:v>
      </x:c>
      <x:c r="D8" s="14" t="str">
        <x:v>docs/github-provider.md</x:v>
      </x:c>
      <x:c r="E8" s="15" t="n">
        <x:v>36</x:v>
      </x:c>
      <x:c r="F8" s="14" t="str">
        <x:v>Distinction between infrastructure retries and build outcomes.</x:v>
      </x:c>
      <x:c r="G8" s="14" t="str">
        <x:v>Removes the internal term "verdict" without changing retry behavior.</x:v>
      </x:c>
      <x:c r="H8" s="14" t="str">
        <x:v>Replace this prose excerpt in place. Preserve surrounding text.</x:v>
      </x:c>
      <x:c r="I8" s="14" t="str">
        <x:v>Medium</x:v>
      </x:c>
      <x:c r="J8" s="14" t="str">
        <x:v>Recommended</x:v>
      </x:c>
    </x:row>
    <x:row r="9" ht="60" customHeight="1">
      <x:c r="A9" s="16" t="str">
        <x:v>DOC-004</x:v>
      </x:c>
      <x:c r="B9" s="16" t="str">
        <x:v>Such a result stands for its own check alone. No later check reuses it, nor does a later check of the same files take it in place of a build of its own.</x:v>
      </x:c>
      <x:c r="C9" s="16" t="str">
        <x:v>The result is valid only for that check. Later checks rebuild the port, even when its Portfile is unchanged, because the fetched commit was not recorded.</x:v>
      </x:c>
      <x:c r="D9" s="16" t="str">
        <x:v>docs/github-provider.md</x:v>
      </x:c>
      <x:c r="E9" s="17" t="n">
        <x:v>50</x:v>
      </x:c>
      <x:c r="F9" s="16" t="str">
        <x:v>GitHub workflow cannot attest which Git commit was fetched.</x:v>
      </x:c>
      <x:c r="G9" s="16" t="str">
        <x:v>Connects the lack of provenance to the concrete rebuild behavior.</x:v>
      </x:c>
      <x:c r="H9" s="16" t="str">
        <x:v>Replace this prose excerpt in place. Preserve surrounding text.</x:v>
      </x:c>
      <x:c r="I9" s="16" t="str">
        <x:v>Medium</x:v>
      </x:c>
      <x:c r="J9" s="16" t="str">
        <x:v>Recommended</x:v>
      </x:c>
    </x:row>
    <x:row r="10" ht="54" customHeight="1">
      <x:c r="A10" s="14" t="str">
        <x:v>DOC-005</x:v>
      </x:c>
      <x:c r="B10" s="14" t="str">
        <x:v>`setup` saying whose the login is</x:v>
      </x:c>
      <x:c r="C10" s="14" t="str">
        <x:v>`setup` showing which GitHub account is signed in</x:v>
      </x:c>
      <x:c r="D10" s="14" t="str">
        <x:v>docs/usage.md</x:v>
      </x:c>
      <x:c r="E10" s="15" t="n">
        <x:v>13</x:v>
      </x:c>
      <x:c r="F10" s="14" t="str">
        <x:v>Migration from the removed auth command.</x:v>
      </x:c>
      <x:c r="G10" s="14" t="str">
        <x:v>Fixes the grammatical error and names the account being reported.</x:v>
      </x:c>
      <x:c r="H10" s="14" t="str">
        <x:v>Replace this prose excerpt in place. Preserve surrounding text.</x:v>
      </x:c>
      <x:c r="I10" s="14" t="str">
        <x:v>Medium</x:v>
      </x:c>
      <x:c r="J10" s="14" t="str">
        <x:v>Recommended</x:v>
      </x:c>
    </x:row>
    <x:row r="11" ht="60" customHeight="1">
      <x:c r="A11" s="16" t="str">
        <x:v>DOC-006</x:v>
      </x:c>
      <x:c r="B11" s="16" t="str">
        <x:v>`-y` offers nothing. Running it again is safe, and is the health check.</x:v>
      </x:c>
      <x:c r="C11" s="16" t="str">
        <x:v>`setup -y` skips these offers. Run `setup` again at any time to check your configuration.</x:v>
      </x:c>
      <x:c r="D11" s="16" t="str">
        <x:v>docs/usage.md</x:v>
      </x:c>
      <x:c r="E11" s="17" t="n">
        <x:v>13</x:v>
      </x:c>
      <x:c r="F11" s="16" t="str">
        <x:v>Setup offers for missing login, maintainer value, and image.</x:v>
      </x:c>
      <x:c r="G11" s="16" t="str">
        <x:v>Clarifies that -y skips offers rather than accepting them, then states the repeat-use behavior.</x:v>
      </x:c>
      <x:c r="H11" s="16" t="str">
        <x:v>Replace this prose excerpt in place. Preserve surrounding text.</x:v>
      </x:c>
      <x:c r="I11" s="16" t="str">
        <x:v>High</x:v>
      </x:c>
      <x:c r="J11" s="16" t="str">
        <x:v>Recommended</x:v>
      </x:c>
    </x:row>
    <x:row r="12" ht="60" customHeight="1">
      <x:c r="A12" s="14" t="str">
        <x:v>DOC-007</x:v>
      </x:c>
      <x:c r="B12" s="14" t="str">
        <x:v>`dockhand setup` asks GitHub whose the login is, and says it with where the login comes from, and until when dockhand's own login renews itself;</x:v>
      </x:c>
      <x:c r="C12" s="14" t="str">
        <x:v>`dockhand setup` shows your GitHub account, the credential source, and how long Dockhand can renew its own login;</x:v>
      </x:c>
      <x:c r="D12" s="14" t="str">
        <x:v>docs/usage.md</x:v>
      </x:c>
      <x:c r="E12" s="15" t="n">
        <x:v>36</x:v>
      </x:c>
      <x:c r="F12" s="14" t="str">
        <x:v>GitHub login section.</x:v>
      </x:c>
      <x:c r="G12" s="14" t="str">
        <x:v>Replaces a chain of indirect clauses with a parallel list.</x:v>
      </x:c>
      <x:c r="H12" s="14" t="str">
        <x:v>Replace this prose excerpt in place. Preserve surrounding text.</x:v>
      </x:c>
      <x:c r="I12" s="14" t="str">
        <x:v>Medium</x:v>
      </x:c>
      <x:c r="J12" s="14" t="str">
        <x:v>Recommended</x:v>
      </x:c>
    </x:row>
    <x:row r="13" ht="54" customHeight="1">
      <x:c r="A13" s="16" t="str">
        <x:v>DOC-008</x:v>
      </x:c>
      <x:c r="B13" s="16" t="str">
        <x:v>A flag comes before the environment, and the environment before the file.</x:v>
      </x:c>
      <x:c r="C13" s="16" t="str">
        <x:v>Command-line flags override environment variables, which override the configuration file.</x:v>
      </x:c>
      <x:c r="D13" s="16" t="str">
        <x:v>docs/usage.md</x:v>
      </x:c>
      <x:c r="E13" s="17" t="n">
        <x:v>40</x:v>
      </x:c>
      <x:c r="F13" s="16" t="str">
        <x:v>Configuration precedence.</x:v>
      </x:c>
      <x:c r="G13" s="16" t="str">
        <x:v>States override behavior unambiguously.</x:v>
      </x:c>
      <x:c r="H13" s="16" t="str">
        <x:v>Replace this prose excerpt in place. Preserve surrounding text.</x:v>
      </x:c>
      <x:c r="I13" s="16" t="str">
        <x:v>Medium</x:v>
      </x:c>
      <x:c r="J13" s="16" t="str">
        <x:v>Recommended</x:v>
      </x:c>
    </x:row>
    <x:row r="14" ht="54" customHeight="1">
      <x:c r="A14" s="14" t="str">
        <x:v>DOC-009</x:v>
      </x:c>
      <x:c r="B14" s="14" t="str">
        <x:v>These commands change the branch's working files and commit nothing;</x:v>
      </x:c>
      <x:c r="C14" s="14" t="str">
        <x:v>These commands edit files in the branch's worktree without committing them;</x:v>
      </x:c>
      <x:c r="D14" s="14" t="str">
        <x:v>docs/usage.md</x:v>
      </x:c>
      <x:c r="E14" s="15" t="n">
        <x:v>65</x:v>
      </x:c>
      <x:c r="F14" s="14" t="str">
        <x:v>Changing ports overview.</x:v>
      </x:c>
      <x:c r="G14" s="14" t="str">
        <x:v>Uses standard Git terms and makes the commit boundary clear.</x:v>
      </x:c>
      <x:c r="H14" s="14" t="str">
        <x:v>Replace this prose excerpt in place. Preserve surrounding text.</x:v>
      </x:c>
      <x:c r="I14" s="14" t="str">
        <x:v>Medium</x:v>
      </x:c>
      <x:c r="J14" s="14" t="str">
        <x:v>Recommended</x:v>
      </x:c>
    </x:row>
    <x:row r="15" ht="75" customHeight="1">
      <x:c r="A15" s="16" t="str">
        <x:v>DOC-010</x:v>
      </x:c>
      <x:c r="B15" s="16" t="str">
        <x:v>With nothing newer beyond it, `update` can't tell whether the port is current, so it changes nothing, exits 3, and names the `dockhand update &lt;port&gt; &lt;version&gt;` that takes it, for you to run if it's a release.</x:v>
      </x:c>
      <x:c r="C15" s="16" t="str">
        <x:v>If no other newer release is found, `update` cannot tell whether the port is current. It leaves the files unchanged, exits with code 3, and prints `dockhand update &lt;port&gt; &lt;version&gt;` so you can select the tag after confirming it is a release.</x:v>
      </x:c>
      <x:c r="D15" s="16" t="str">
        <x:v>docs/usage.md</x:v>
      </x:c>
      <x:c r="E15" s="17" t="n">
        <x:v>77</x:v>
      </x:c>
      <x:c r="F15" s="16" t="str">
        <x:v>A newer-looking tag points to a commit older than the current release tag.</x:v>
      </x:c>
      <x:c r="G15" s="16" t="str">
        <x:v>Separates uncertainty, outcome, and manual recovery.</x:v>
      </x:c>
      <x:c r="H15" s="16" t="str">
        <x:v>Replace this prose excerpt in place. Preserve surrounding text.</x:v>
      </x:c>
      <x:c r="I15" s="16" t="str">
        <x:v>High</x:v>
      </x:c>
      <x:c r="J15" s="16" t="str">
        <x:v>Recommended</x:v>
      </x:c>
    </x:row>
    <x:row r="16" ht="60" customHeight="1">
      <x:c r="A16" s="14" t="str">
        <x:v>DOC-011</x:v>
      </x:c>
      <x:c r="B16" s="14" t="str">
        <x:v>Each is asked once, four at a time, for up to ten seconds, and only beside an edit: a port already current is said to be so without waiting on its hosts.</x:v>
      </x:c>
      <x:c r="C16" s="14" t="str">
        <x:v>Dockhand probes each URL once, with up to four probes running at a time and a ten-second timeout per probe. It skips these probes when the port is already current.</x:v>
      </x:c>
      <x:c r="D16" s="14" t="str">
        <x:v>docs/usage.md</x:v>
      </x:c>
      <x:c r="E16" s="15" t="n">
        <x:v>77</x:v>
      </x:c>
      <x:c r="F16" s="14" t="str">
        <x:v>HTTPS probes during update.</x:v>
      </x:c>
      <x:c r="G16" s="14" t="str">
        <x:v>Names the operation and separates concurrency from the timeout.</x:v>
      </x:c>
      <x:c r="H16" s="14" t="str">
        <x:v>Replace this prose excerpt in place. Preserve surrounding text.</x:v>
      </x:c>
      <x:c r="I16" s="14" t="str">
        <x:v>Medium</x:v>
      </x:c>
      <x:c r="J16" s="14" t="str">
        <x:v>Recommended</x:v>
      </x:c>
    </x:row>
    <x:row r="17" ht="54" customHeight="1">
      <x:c r="A17" s="16" t="str">
        <x:v>DOC-012</x:v>
      </x:c>
      <x:c r="B17" s="16" t="str">
        <x:v>`update` names any other open pull request for the port, as submit's preview does, and stops for none.</x:v>
      </x:c>
      <x:c r="C17" s="16" t="str">
        <x:v>`update` lists other open pull requests for the port, as `submit --plan` does. It continues even if it finds one.</x:v>
      </x:c>
      <x:c r="D17" s="16" t="str">
        <x:v>docs/usage.md</x:v>
      </x:c>
      <x:c r="E17" s="17" t="n">
        <x:v>77</x:v>
      </x:c>
      <x:c r="F17" s="16" t="str">
        <x:v>Update behavior when another pull request exists.</x:v>
      </x:c>
      <x:c r="G17" s="16" t="str">
        <x:v>Resolves the ambiguous phrase "stops for none".</x:v>
      </x:c>
      <x:c r="H17" s="16" t="str">
        <x:v>Replace this prose excerpt in place. Preserve surrounding text.</x:v>
      </x:c>
      <x:c r="I17" s="16" t="str">
        <x:v>High</x:v>
      </x:c>
      <x:c r="J17" s="16" t="str">
        <x:v>Recommended</x:v>
      </x:c>
    </x:row>
    <x:row r="18" ht="54" customHeight="1">
      <x:c r="A18" s="14" t="str">
        <x:v>DOC-013</x:v>
      </x:c>
      <x:c r="B18" s="14" t="str">
        <x:v>Each change stops where its stage would, and the others go on: it exits 1 where none went through, and 3 where some need a look.</x:v>
      </x:c>
      <x:c r="C18" s="14" t="str">
        <x:v>If a stage stops one change, `ship` continues with the others. It exits with code 1 if none complete, or code 3 if some require review.</x:v>
      </x:c>
      <x:c r="D18" s="14" t="str">
        <x:v>docs/usage.md</x:v>
      </x:c>
      <x:c r="E18" s="15" t="n">
        <x:v>95</x:v>
      </x:c>
      <x:c r="F18" s="14" t="str">
        <x:v>Ship batch outcomes.</x:v>
      </x:c>
      <x:c r="G18" s="14" t="str">
        <x:v>Names the command, isolation between changes, and partial result.</x:v>
      </x:c>
      <x:c r="H18" s="14" t="str">
        <x:v>Replace this prose excerpt in place. Preserve surrounding text.</x:v>
      </x:c>
      <x:c r="I18" s="14" t="str">
        <x:v>Medium</x:v>
      </x:c>
      <x:c r="J18" s="14" t="str">
        <x:v>Recommended</x:v>
      </x:c>
    </x:row>
    <x:row r="19" ht="54" customHeight="1">
      <x:c r="A19" s="16" t="str">
        <x:v>DOC-014</x:v>
      </x:c>
      <x:c r="B19" s="16" t="str">
        <x:v>A `--draft` goes up whatever its check found, with the check's exit.</x:v>
      </x:c>
      <x:c r="C19" s="16" t="str">
        <x:v>`--draft` opens a draft pull request even if the check did not pass. The command returns the check's exit code.</x:v>
      </x:c>
      <x:c r="D19" s="16" t="str">
        <x:v>docs/usage.md</x:v>
      </x:c>
      <x:c r="E19" s="17" t="n">
        <x:v>95</x:v>
      </x:c>
      <x:c r="F19" s="16" t="str">
        <x:v>Ship with --draft.</x:v>
      </x:c>
      <x:c r="G19" s="16" t="str">
        <x:v>Explains both publication and exit status.</x:v>
      </x:c>
      <x:c r="H19" s="16" t="str">
        <x:v>Replace this prose excerpt in place. Preserve surrounding text.</x:v>
      </x:c>
      <x:c r="I19" s="16" t="str">
        <x:v>High</x:v>
      </x:c>
      <x:c r="J19" s="16" t="str">
        <x:v>Recommended</x:v>
      </x:c>
    </x:row>
    <x:row r="20" ht="54" customHeight="1">
      <x:c r="A20" s="14" t="str">
        <x:v>DOC-015</x:v>
      </x:c>
      <x:c r="B20" s="14" t="str">
        <x:v>`--yes` skips the question, and without a terminal running it is the decision.</x:v>
      </x:c>
      <x:c r="C20" s="14" t="str">
        <x:v>`--yes` skips confirmation. Outside a terminal, running the command authorizes the plan without a prompt.</x:v>
      </x:c>
      <x:c r="D20" s="14" t="str">
        <x:v>docs/usage.md</x:v>
      </x:c>
      <x:c r="E20" s="15" t="n">
        <x:v>95</x:v>
      </x:c>
      <x:c r="F20" s="14" t="str">
        <x:v>Ship behavior in scripts.</x:v>
      </x:c>
      <x:c r="G20" s="14" t="str">
        <x:v>Makes implicit confirmation in noninteractive use explicit.</x:v>
      </x:c>
      <x:c r="H20" s="14" t="str">
        <x:v>Replace this prose excerpt in place. Preserve surrounding text.</x:v>
      </x:c>
      <x:c r="I20" s="14" t="str">
        <x:v>High</x:v>
      </x:c>
      <x:c r="J20" s="14" t="str">
        <x:v>Recommended</x:v>
      </x:c>
    </x:row>
    <x:row r="21" ht="75" customHeight="1">
      <x:c r="A21" s="16" t="str">
        <x:v>DOC-016</x:v>
      </x:c>
      <x:c r="B21" s="16" t="str">
        <x:v>It shows one plan, a row a change, with each branch's submission as it stands under its row where it goes on to `submit`, and what holds it, and asks once on a terminal.</x:v>
      </x:c>
      <x:c r="C21" s="16" t="str">
        <x:v>`ship` shows one plan with a row for each change. If the plan includes submission, each row also shows the current submission preview and any reasons for pausing. In a terminal, it asks you to confirm the plan once.</x:v>
      </x:c>
      <x:c r="D21" s="16" t="str">
        <x:v>docs/usage.md</x:v>
      </x:c>
      <x:c r="E21" s="17" t="n">
        <x:v>95</x:v>
      </x:c>
      <x:c r="F21" s="16" t="str">
        <x:v>Ship plan and confirmation.</x:v>
      </x:c>
      <x:c r="G21" s="16" t="str">
        <x:v>Explains the layout and confirmation without nested references.</x:v>
      </x:c>
      <x:c r="H21" s="16" t="str">
        <x:v>Replace this prose excerpt in place. Preserve surrounding text.</x:v>
      </x:c>
      <x:c r="I21" s="16" t="str">
        <x:v>Medium</x:v>
      </x:c>
      <x:c r="J21" s="16" t="str">
        <x:v>Recommended</x:v>
      </x:c>
    </x:row>
    <x:row r="22" ht="54" customHeight="1">
      <x:c r="A22" s="14" t="str">
        <x:v>DOC-017</x:v>
      </x:c>
      <x:c r="B22" s="14" t="str">
        <x:v>`bump` is `ship &lt;port&gt; --yes` with a version to pin, asking nothing, for an update you want submitted without looking along the way;</x:v>
      </x:c>
      <x:c r="C22" s="14" t="str">
        <x:v>`bump` runs `ship &lt;port&gt; --yes`, optionally targeting a version you specify. It submits the update without prompting at each stage;</x:v>
      </x:c>
      <x:c r="D22" s="14" t="str">
        <x:v>docs/usage.md</x:v>
      </x:c>
      <x:c r="E22" s="15" t="n">
        <x:v>104</x:v>
      </x:c>
      <x:c r="F22" s="14" t="str">
        <x:v>Bump introduction.</x:v>
      </x:c>
      <x:c r="G22" s="14" t="str">
        <x:v>Explains the relationship between commands in familiar language.</x:v>
      </x:c>
      <x:c r="H22" s="14" t="str">
        <x:v>Replace this prose excerpt in place. Preserve surrounding text.</x:v>
      </x:c>
      <x:c r="I22" s="14" t="str">
        <x:v>Medium</x:v>
      </x:c>
      <x:c r="J22" s="14" t="str">
        <x:v>Recommended</x:v>
      </x:c>
    </x:row>
    <x:row r="23" ht="54" customHeight="1">
      <x:c r="A23" s="16" t="str">
        <x:v>DOC-018</x:v>
      </x:c>
      <x:c r="B23" s="16" t="str">
        <x:v>A port whose edit dockhand can't make starts no branch, and says so.</x:v>
      </x:c>
      <x:c r="C23" s="16" t="str">
        <x:v>If Dockhand cannot prepare a port's edit, it explains why and does not create a branch for that port.</x:v>
      </x:c>
      <x:c r="D23" s="16" t="str">
        <x:v>docs/usage.md</x:v>
      </x:c>
      <x:c r="E23" s="17" t="n">
        <x:v>123</x:v>
      </x:c>
      <x:c r="F23" s="16" t="str">
        <x:v>Batch update branch creation.</x:v>
      </x:c>
      <x:c r="G23" s="16" t="str">
        <x:v>Clarifies the outcome and removes an impossible grammatical subject.</x:v>
      </x:c>
      <x:c r="H23" s="16" t="str">
        <x:v>Replace this prose excerpt in place. Preserve surrounding text.</x:v>
      </x:c>
      <x:c r="I23" s="16" t="str">
        <x:v>Medium</x:v>
      </x:c>
      <x:c r="J23" s="16" t="str">
        <x:v>Recommended</x:v>
      </x:c>
    </x:row>
    <x:row r="24" ht="60" customHeight="1">
      <x:c r="A24" s="14" t="str">
        <x:v>DOC-019</x:v>
      </x:c>
      <x:c r="B24" s="14" t="str">
        <x:v>A newer release whose port fetches the files uploaded to its release, and whose release has none yet, is listed as not ready, as `update` would refuse it, and isn't updated by serve.</x:v>
      </x:c>
      <x:c r="C24" s="14" t="str">
        <x:v>If a port downloads release assets and the new release has not uploaded them yet, `outdated` lists it as not ready. `update` cannot apply it, and `serve` skips it.</x:v>
      </x:c>
      <x:c r="D24" s="14" t="str">
        <x:v>docs/usage.md</x:v>
      </x:c>
      <x:c r="E24" s="15" t="n">
        <x:v>123</x:v>
      </x:c>
      <x:c r="F24" s="14" t="str">
        <x:v>Outdated ports with unpublished release assets.</x:v>
      </x:c>
      <x:c r="G24" s="14" t="str">
        <x:v>Replaces multiple nested possessives with the missing prerequisite.</x:v>
      </x:c>
      <x:c r="H24" s="14" t="str">
        <x:v>Replace this prose excerpt in place. Preserve surrounding text.</x:v>
      </x:c>
      <x:c r="I24" s="14" t="str">
        <x:v>Medium</x:v>
      </x:c>
      <x:c r="J24" s="14" t="str">
        <x:v>Recommended</x:v>
      </x:c>
    </x:row>
    <x:row r="25" ht="60" customHeight="1">
      <x:c r="A25" s="16" t="str">
        <x:v>DOC-020</x:v>
      </x:c>
      <x:c r="B25" s="16" t="str">
        <x:v>What it guessed is marked with a `# dockhand: unconfirmed` comment, which `submit` holds for until you confirm the guess and remove its mark:</x:v>
      </x:c>
      <x:c r="C25" s="16" t="str">
        <x:v>Dockhand marks inferred values with `# dockhand: unconfirmed`. Review each value, correct it if needed, and remove the comment before submitting:</x:v>
      </x:c>
      <x:c r="D25" s="16" t="str">
        <x:v>docs/usage.md</x:v>
      </x:c>
      <x:c r="E25" s="17" t="n">
        <x:v>149</x:v>
      </x:c>
      <x:c r="F25" s="16" t="str">
        <x:v>Create produces a draft Portfile.</x:v>
      </x:c>
      <x:c r="G25" s="16" t="str">
        <x:v>Replaces opaque hold language with the required review steps.</x:v>
      </x:c>
      <x:c r="H25" s="16" t="str">
        <x:v>Replace this prose excerpt in place. Preserve surrounding text.</x:v>
      </x:c>
      <x:c r="I25" s="16" t="str">
        <x:v>High</x:v>
      </x:c>
      <x:c r="J25" s="16" t="str">
        <x:v>Recommended</x:v>
      </x:c>
    </x:row>
    <x:row r="26" ht="60" customHeight="1">
      <x:c r="A26" s="14" t="str">
        <x:v>DOC-021</x:v>
      </x:c>
      <x:c r="B26" s="14" t="str">
        <x:v>A check nobody looks over before it's submitted, as serve's and bump's, takes `build.unattended`'s, `minmax` unless set (`build.default`'s where Tart isn't installed).</x:v>
      </x:c>
      <x:c r="C26" s="14" t="str">
        <x:v>Checks submitted without interactive review, such as those run by `serve` or `bump`, use `build.unattended`. Its default is `minmax` when Tart is installed, or `build.default` otherwise.</x:v>
      </x:c>
      <x:c r="D26" s="14" t="str">
        <x:v>docs/usage.md</x:v>
      </x:c>
      <x:c r="E26" s="15" t="n">
        <x:v>204</x:v>
      </x:c>
      <x:c r="F26" s="14" t="str">
        <x:v>Build-profile selection.</x:v>
      </x:c>
      <x:c r="G26" s="14" t="str">
        <x:v>Makes the setting and its conditional default easy to identify.</x:v>
      </x:c>
      <x:c r="H26" s="14" t="str">
        <x:v>Replace this prose excerpt in place. Preserve surrounding text.</x:v>
      </x:c>
      <x:c r="I26" s="14" t="str">
        <x:v>Medium</x:v>
      </x:c>
      <x:c r="J26" s="14" t="str">
        <x:v>Recommended</x:v>
      </x:c>
    </x:row>
    <x:row r="27" ht="60" customHeight="1">
      <x:c r="A27" s="16" t="str">
        <x:v>DOC-022</x:v>
      </x:c>
      <x:c r="B27" s="16" t="str">
        <x:v>A check whose process dies without settling it, killed or lost with its terminal, is shown as **stopped** by `status`, in its branch's row and in the list of checks.</x:v>
      </x:c>
      <x:c r="C27" s="16" t="str">
        <x:v>If a check's process exits unexpectedly, for example because it was killed or its terminal closed, `status` marks it **stopped** in both the branch row and the check list.</x:v>
      </x:c>
      <x:c r="D27" s="16" t="str">
        <x:v>docs/usage.md</x:v>
      </x:c>
      <x:c r="E27" s="17" t="n">
        <x:v>233</x:v>
      </x:c>
      <x:c r="F27" s="16" t="str">
        <x:v>Interrupted check recovery.</x:v>
      </x:c>
      <x:c r="G27" s="16" t="str">
        <x:v>Explains the stopped state using familiar causes.</x:v>
      </x:c>
      <x:c r="H27" s="16" t="str">
        <x:v>Replace this prose excerpt in place. Preserve surrounding text.</x:v>
      </x:c>
      <x:c r="I27" s="16" t="str">
        <x:v>Medium</x:v>
      </x:c>
      <x:c r="J27" s="16" t="str">
        <x:v>Recommended</x:v>
      </x:c>
    </x:row>
    <x:row r="28" ht="60" customHeight="1">
      <x:c r="A28" s="14" t="str">
        <x:v>DOC-023</x:v>
      </x:c>
      <x:c r="B28" s="14" t="str">
        <x:v>A `!` line is what a reviewer would ask about, and holds a submission nobody reviews, bump's or serve's, as a legend beside it says; a `·` line holds nothing.</x:v>
      </x:c>
      <x:c r="C28" s="14" t="str">
        <x:v>A `!` marks a finding that requires review before an unattended submission by `bump` or `serve`. A `·` marks an informational finding that does not pause submission.</x:v>
      </x:c>
      <x:c r="D28" s="14" t="str">
        <x:v>docs/usage.md</x:v>
      </x:c>
      <x:c r="E28" s="15" t="n">
        <x:v>312</x:v>
      </x:c>
      <x:c r="F28" s="14" t="str">
        <x:v>Legend for upstream assessment findings.</x:v>
      </x:c>
      <x:c r="G28" s="14" t="str">
        <x:v>Defines the symbols by their effect on the workflow.</x:v>
      </x:c>
      <x:c r="H28" s="14" t="str">
        <x:v>Replace this prose excerpt in place. Preserve surrounding text.</x:v>
      </x:c>
      <x:c r="I28" s="14" t="str">
        <x:v>High</x:v>
      </x:c>
      <x:c r="J28" s="14" t="str">
        <x:v>Recommended</x:v>
      </x:c>
    </x:row>
    <x:row r="29" ht="60" customHeight="1">
      <x:c r="A29" s="16" t="str">
        <x:v>DOC-024</x:v>
      </x:c>
      <x:c r="B29" s="16" t="str">
        <x:v>An extra no check built asks nothing of submit, status, or serve, and there is nothing of it to accept: it's built for what it shows.</x:v>
      </x:c>
      <x:c r="C29" s="16" t="str">
        <x:v>An extra port that was never built does not block submission and needs no `--accept` acknowledgment. Extra ports provide additional information when a check builds them.</x:v>
      </x:c>
      <x:c r="D29" s="16" t="str">
        <x:v>docs/usage.md</x:v>
      </x:c>
      <x:c r="E29" s="17" t="n">
        <x:v>316</x:v>
      </x:c>
      <x:c r="F29" s="16" t="str">
        <x:v>Submit --accept semantics for --also ports.</x:v>
      </x:c>
      <x:c r="G29" s="16" t="str">
        <x:v>Separates an unbuilt extra from a failed extra and explains the consequence.</x:v>
      </x:c>
      <x:c r="H29" s="16" t="str">
        <x:v>Replace this prose excerpt in place. Preserve surrounding text.</x:v>
      </x:c>
      <x:c r="I29" s="16" t="str">
        <x:v>High</x:v>
      </x:c>
      <x:c r="J29" s="16" t="str">
        <x:v>Recommended</x:v>
      </x:c>
    </x:row>
    <x:row r="30" ht="60" customHeight="1">
      <x:c r="A30" s="14" t="str">
        <x:v>DOC-025</x:v>
      </x:c>
      <x:c r="B30" s="14" t="str">
        <x:v>`--ship-to` sets how far for one run, as `serve --ship-to check`.</x:v>
      </x:c>
      <x:c r="C30" s="14" t="str">
        <x:v>Use `--ship-to` to set the stage for one service run. For example, `serve --ship-to check` prepares and checks updates without submitting them.</x:v>
      </x:c>
      <x:c r="D30" s="14" t="str">
        <x:v>docs/usage.md</x:v>
      </x:c>
      <x:c r="E30" s="15" t="n">
        <x:v>349</x:v>
      </x:c>
      <x:c r="F30" s="14" t="str">
        <x:v>Serve stage override.</x:v>
      </x:c>
      <x:c r="G30" s="14" t="str">
        <x:v>States what the example does.</x:v>
      </x:c>
      <x:c r="H30" s="14" t="str">
        <x:v>Replace this prose excerpt in place. Preserve surrounding text.</x:v>
      </x:c>
      <x:c r="I30" s="14" t="str">
        <x:v>Medium</x:v>
      </x:c>
      <x:c r="J30" s="14" t="str">
        <x:v>Recommended</x:v>
      </x:c>
    </x:row>
    <x:row r="31" ht="54" customHeight="1">
      <x:c r="A31" s="16" t="str">
        <x:v>DOC-026</x:v>
      </x:c>
      <x:c r="B31" s="16" t="str">
        <x:v>From v0.3.0, upgrade: since MacPorts 2.12.7, v0.3.0's `setup` can't make a Tart image, and v0.3.1's can.</x:v>
      </x:c>
      <x:c r="C31" s="16" t="str">
        <x:v>If you use v0.3.0, upgrade to v0.3.1: it fixes Tart image setup with MacPorts 2.12.7 and later.</x:v>
      </x:c>
      <x:c r="D31" s="16" t="str">
        <x:v>README.md</x:v>
      </x:c>
      <x:c r="E31" s="17" t="n">
        <x:v>2</x:v>
      </x:c>
      <x:c r="F31" s="16" t="str">
        <x:v>Upgrade guidance in the opening note.</x:v>
      </x:c>
      <x:c r="G31" s="16" t="str">
        <x:v>Replaces an inverted instruction with a direct reason to upgrade.</x:v>
      </x:c>
      <x:c r="H31" s="16" t="str">
        <x:v>Replace this prose excerpt in place. Preserve surrounding text.</x:v>
      </x:c>
      <x:c r="I31" s="16" t="str">
        <x:v>Medium</x:v>
      </x:c>
      <x:c r="J31" s="16" t="str">
        <x:v>Recommended</x:v>
      </x:c>
    </x:row>
    <x:row r="32" ht="54" customHeight="1">
      <x:c r="A32" s="14" t="str">
        <x:v>DOC-027</x:v>
      </x:c>
      <x:c r="B32" s="14" t="str">
        <x:v>**This is dockhand v0.3.1, the first point release of its third design.**</x:v>
      </x:c>
      <x:c r="C32" s="14" t="str">
        <x:v>**The latest release is dockhand v0.3.1. This branch is being developed for v0.4.0.**</x:v>
      </x:c>
      <x:c r="D32" s="14" t="str">
        <x:v>README.md</x:v>
      </x:c>
      <x:c r="E32" s="15" t="n">
        <x:v>2</x:v>
      </x:c>
      <x:c r="F32" s="14" t="str">
        <x:v>Opening release note; the next sentence describes changes on main.</x:v>
      </x:c>
      <x:c r="G32" s="14" t="str">
        <x:v>Distinguishes the released version from the development branch immediately.</x:v>
      </x:c>
      <x:c r="H32" s="14" t="str">
        <x:v>Replace this prose excerpt in place. Preserve surrounding text.</x:v>
      </x:c>
      <x:c r="I32" s="14" t="str">
        <x:v>High</x:v>
      </x:c>
      <x:c r="J32" s="14" t="str">
        <x:v>Recommended</x:v>
      </x:c>
    </x:row>
    <x:row r="33" ht="54" customHeight="1">
      <x:c r="A33" s="16" t="str">
        <x:v>DOC-028</x:v>
      </x:c>
      <x:c r="B33" s="16" t="str">
        <x:v>It then shapes the commits the way MacPorts asks for them and opens the pull request from your fork.</x:v>
      </x:c>
      <x:c r="C33" s="16" t="str">
        <x:v>It formats commits to follow MacPorts guidelines and opens a pull request from your fork.</x:v>
      </x:c>
      <x:c r="D33" s="16" t="str">
        <x:v>README.md</x:v>
      </x:c>
      <x:c r="E33" s="17" t="n">
        <x:v>21</x:v>
      </x:c>
      <x:c r="F33" s="16" t="str">
        <x:v>Product introduction.</x:v>
      </x:c>
      <x:c r="G33" s="16" t="str">
        <x:v>Uses familiar terms for commit formatting and contribution guidelines.</x:v>
      </x:c>
      <x:c r="H33" s="16" t="str">
        <x:v>Replace this prose excerpt in place. Preserve surrounding text.</x:v>
      </x:c>
      <x:c r="I33" s="16" t="str">
        <x:v>Medium</x:v>
      </x:c>
      <x:c r="J33" s="16" t="str">
        <x:v>Recommended</x:v>
      </x:c>
    </x:row>
    <x:row r="34" ht="54" customHeight="1">
      <x:c r="A34" s="14" t="str">
        <x:v>DOC-029</x:v>
      </x:c>
      <x:c r="B34" s="14" t="str">
        <x:v>The maintainers line is offered as the ports maintained by your GitHub login write it; with none, setup says how to write it yourself.</x:v>
      </x:c>
      <x:c r="C34" s="14" t="str">
        <x:v>`setup` suggests a `maintainer` value based on ports that list your GitHub account. If it finds none, it shows you how to enter one.</x:v>
      </x:c>
      <x:c r="D34" s="14" t="str">
        <x:v>README.md</x:v>
      </x:c>
      <x:c r="E34" s="15" t="n">
        <x:v>38</x:v>
      </x:c>
      <x:c r="F34" s="14" t="str">
        <x:v>Getting started, after the setup example.</x:v>
      </x:c>
      <x:c r="G34" s="14" t="str">
        <x:v>Explains where the suggestion comes from and what happens when no match exists.</x:v>
      </x:c>
      <x:c r="H34" s="14" t="str">
        <x:v>Replace this prose excerpt in place. Preserve surrounding text.</x:v>
      </x:c>
      <x:c r="I34" s="14" t="str">
        <x:v>Medium</x:v>
      </x:c>
      <x:c r="J34" s="14" t="str">
        <x:v>Recommended</x:v>
      </x:c>
    </x:row>
    <x:row r="35" ht="54" customHeight="1">
      <x:c r="A35" s="16" t="str">
        <x:v>DOC-030</x:v>
      </x:c>
      <x:c r="B35" s="16" t="str">
        <x:v>Each stop says why, and what goes on from there.</x:v>
      </x:c>
      <x:c r="C35" s="16" t="str">
        <x:v>When it stops, Dockhand explains why and shows the next command to run.</x:v>
      </x:c>
      <x:c r="D35" s="16" t="str">
        <x:v>README.md</x:v>
      </x:c>
      <x:c r="E35" s="17" t="n">
        <x:v>47</x:v>
      </x:c>
      <x:c r="F35" s="16" t="str">
        <x:v>Automatic update stop conditions.</x:v>
      </x:c>
      <x:c r="G35" s="16" t="str">
        <x:v>Names the information the user can expect.</x:v>
      </x:c>
      <x:c r="H35" s="16" t="str">
        <x:v>Replace this prose excerpt in place. Preserve surrounding text.</x:v>
      </x:c>
      <x:c r="I35" s="16" t="str">
        <x:v>Medium</x:v>
      </x:c>
      <x:c r="J35" s="16" t="str">
        <x:v>Recommended</x:v>
      </x:c>
    </x:row>
    <x:row r="36" ht="54" customHeight="1">
      <x:c r="A36" s="14" t="str">
        <x:v>DOC-031</x:v>
      </x:c>
      <x:c r="B36" s="14" t="str">
        <x:v>`bump` takes a port from its upstream release to an open pull request and asks nothing:</x:v>
      </x:c>
      <x:c r="C36" s="14" t="str">
        <x:v>`bump` updates a port and opens a pull request without prompting:</x:v>
      </x:c>
      <x:c r="D36" s="14" t="str">
        <x:v>README.md</x:v>
      </x:c>
      <x:c r="E36" s="15" t="n">
        <x:v>47</x:v>
      </x:c>
      <x:c r="F36" s="14" t="str">
        <x:v>One-command update introduction.</x:v>
      </x:c>
      <x:c r="G36" s="14" t="str">
        <x:v>Replaces an abstract journey and unusual phrase with the actual action.</x:v>
      </x:c>
      <x:c r="H36" s="14" t="str">
        <x:v>Replace this prose excerpt in place. Preserve surrounding text.</x:v>
      </x:c>
      <x:c r="I36" s="14" t="str">
        <x:v>Medium</x:v>
      </x:c>
      <x:c r="J36" s="14" t="str">
        <x:v>Recommended</x:v>
      </x:c>
    </x:row>
    <x:row r="37" ht="54" customHeight="1">
      <x:c r="A37" s="16" t="str">
        <x:v>DOC-032</x:v>
      </x:c>
      <x:c r="B37" s="16" t="str">
        <x:v>Run again, `bump` and `ship` resume the branch where it stands.</x:v>
      </x:c>
      <x:c r="C37" s="16" t="str">
        <x:v>Run `bump` or `ship` again to resume work on the branch.</x:v>
      </x:c>
      <x:c r="D37" s="16" t="str">
        <x:v>README.md</x:v>
      </x:c>
      <x:c r="E37" s="17" t="n">
        <x:v>59</x:v>
      </x:c>
      <x:c r="F37" s="16" t="str">
        <x:v>Step-by-step workflow.</x:v>
      </x:c>
      <x:c r="G37" s="16" t="str">
        <x:v>Uses natural sentence order and a direct instruction.</x:v>
      </x:c>
      <x:c r="H37" s="16" t="str">
        <x:v>Replace this prose excerpt in place. Preserve surrounding text.</x:v>
      </x:c>
      <x:c r="I37" s="16" t="str">
        <x:v>Medium</x:v>
      </x:c>
      <x:c r="J37" s="16" t="str">
        <x:v>Recommended</x:v>
      </x:c>
    </x:row>
    <x:row r="38" ht="60" customHeight="1">
      <x:c r="A38" s="14" t="str">
        <x:v>DOC-033</x:v>
      </x:c>
      <x:c r="B38" s="14" t="str">
        <x:v>`status` shows every open branch: its ports, its edits, its latest check, and its pull request, under a list of what needs you, each with the command that moves it forward.</x:v>
      </x:c>
      <x:c r="C38" s="14" t="str">
        <x:v>`status` lists open branches with their ports, edits, latest checks, and pull requests. Items that need your attention appear first, each with a suggested next command.</x:v>
      </x:c>
      <x:c r="D38" s="14" t="str">
        <x:v>README.md</x:v>
      </x:c>
      <x:c r="E38" s="15" t="n">
        <x:v>61</x:v>
      </x:c>
      <x:c r="F38" s="14" t="str">
        <x:v>Status overview.</x:v>
      </x:c>
      <x:c r="G38" s="14" t="str">
        <x:v>Separates the branch list from the actionable attention list.</x:v>
      </x:c>
      <x:c r="H38" s="14" t="str">
        <x:v>Replace this prose excerpt in place. Preserve surrounding text.</x:v>
      </x:c>
      <x:c r="I38" s="14" t="str">
        <x:v>Medium</x:v>
      </x:c>
      <x:c r="J38" s="14" t="str">
        <x:v>Recommended</x:v>
      </x:c>
    </x:row>
    <x:row r="39" ht="60" customHeight="1">
      <x:c r="A39" s="16" t="str">
        <x:v>DOC-034</x:v>
      </x:c>
      <x:c r="B39" s="16" t="str">
        <x:v>It acts on GitHub only as the account it started as: logged out, it reads pull requests without a login and opens, pushes, and checks there nothing until you log in again.</x:v>
      </x:c>
      <x:c r="C39" s="16" t="str">
        <x:v>`serve` writes to GitHub only as the account it started with. If you log out, it continues reading public pull requests but pauses pushes, submissions, and GitHub checks until you log in again.</x:v>
      </x:c>
      <x:c r="D39" s="16" t="str">
        <x:v>README.md</x:v>
      </x:c>
      <x:c r="E39" s="17" t="n">
        <x:v>85</x:v>
      </x:c>
      <x:c r="F39" s="16" t="str">
        <x:v>Background service behavior after logout.</x:v>
      </x:c>
      <x:c r="G39" s="16" t="str">
        <x:v>Makes the account restriction and paused actions explicit.</x:v>
      </x:c>
      <x:c r="H39" s="16" t="str">
        <x:v>Replace this prose excerpt in place. Preserve surrounding text.</x:v>
      </x:c>
      <x:c r="I39" s="16" t="str">
        <x:v>High</x:v>
      </x:c>
      <x:c r="J39" s="16" t="str">
        <x:v>Recommended</x:v>
      </x:c>
    </x:row>
    <x:row r="40" ht="60" customHeight="1">
      <x:c r="A40" s="14" t="str">
        <x:v>DOC-035</x:v>
      </x:c>
      <x:c r="B40" s="14" t="str">
        <x:v>Every other Portfile shape either works or refuses with a reason; dockhand never makes an edit it can't stand behind.</x:v>
      </x:c>
      <x:c r="C40" s="14" t="str">
        <x:v>Other Portfile layouts may work, but are outside this release's supported scope. When Dockhand cannot safely make an edit, it stops and explains why.</x:v>
      </x:c>
      <x:c r="D40" s="14" t="str">
        <x:v>README.md</x:v>
      </x:c>
      <x:c r="E40" s="15" t="n">
        <x:v>105</x:v>
      </x:c>
      <x:c r="F40" s="14" t="str">
        <x:v>Supported Portfile shapes.</x:v>
      </x:c>
      <x:c r="G40" s="14" t="str">
        <x:v>Replaces anthropomorphic assurance with the support boundary and observable behavior.</x:v>
      </x:c>
      <x:c r="H40" s="14" t="str">
        <x:v>Replace this prose excerpt in place. Preserve surrounding text.</x:v>
      </x:c>
      <x:c r="I40" s="14" t="str">
        <x:v>Medium</x:v>
      </x:c>
      <x:c r="J40" s="14" t="str">
        <x:v>Recommended</x:v>
      </x:c>
    </x:row>
    <x:row r="41" ht="54" customHeight="1">
      <x:c r="A41" s="16" t="str">
        <x:v>DOC-036</x:v>
      </x:c>
      <x:c r="B41" s="16" t="str">
        <x:v>a guest's error tried again three times where it isn't the VM's</x:v>
      </x:c>
      <x:c r="C41" s="16" t="str">
        <x:v>guest build errors incorrectly retried as VM failures</x:v>
      </x:c>
      <x:c r="D41" s="16" t="str">
        <x:v>README.md</x:v>
      </x:c>
      <x:c r="E41" s="17" t="n">
        <x:v>117</x:v>
      </x:c>
      <x:c r="F41" s="16" t="str">
        <x:v>List of bugs fixed in v0.4.0.</x:v>
      </x:c>
      <x:c r="G41" s="16" t="str">
        <x:v>Names the misclassification directly instead of relying on nested pronouns.</x:v>
      </x:c>
      <x:c r="H41" s="16" t="str">
        <x:v>Replace this prose excerpt in place. Preserve surrounding text.</x:v>
      </x:c>
      <x:c r="I41" s="16" t="str">
        <x:v>Medium</x:v>
      </x:c>
      <x:c r="J41" s="16" t="str">
        <x:v>Recommended</x:v>
      </x:c>
    </x:row>
    <x:row r="42" ht="54" customHeight="1">
      <x:c r="A42" s="14" t="str">
        <x:v>DOC-037</x:v>
      </x:c>
      <x:c r="B42" s="14" t="str">
        <x:v>Each is rough, harms nothing a look wouldn't catch, and has a workaround.</x:v>
      </x:c>
      <x:c r="C42" s="14" t="str">
        <x:v>The known issues below include their effects and workarounds. Review the diff before committing changes.</x:v>
      </x:c>
      <x:c r="D42" s="14" t="str">
        <x:v>README.md</x:v>
      </x:c>
      <x:c r="E42" s="15" t="n">
        <x:v>117</x:v>
      </x:c>
      <x:c r="F42" s="14" t="str">
        <x:v>Known-issues introduction.</x:v>
      </x:c>
      <x:c r="G42" s="14" t="str">
        <x:v>Removes an unsupported reassurance that makes the issues harder to assess.</x:v>
      </x:c>
      <x:c r="H42" s="14" t="str">
        <x:v>Replace this prose excerpt in place. Preserve surrounding text.</x:v>
      </x:c>
      <x:c r="I42" s="14" t="str">
        <x:v>High</x:v>
      </x:c>
      <x:c r="J42" s="14" t="str">
        <x:v>Recommended</x:v>
      </x:c>
    </x:row>
    <x:row r="43" ht="60" customHeight="1">
      <x:c r="A43" s="16" t="str">
        <x:v>DOC-038</x:v>
      </x:c>
      <x:c r="B43" s="16" t="str">
        <x:v>Subports that share a Portfile but differ beyond what dockhand reads, such as py-lmdb's, can get a planned edit that needs a person's look.</x:v>
      </x:c>
      <x:c r="C43" s="16" t="str">
        <x:v>For subports that share a Portfile, such as py-lmdb, Dockhand may miss differences that affect the proposed edit. Review the plan and diff before committing.</x:v>
      </x:c>
      <x:c r="D43" s="16" t="str">
        <x:v>README.md</x:v>
      </x:c>
      <x:c r="E43" s="17" t="n">
        <x:v>121</x:v>
      </x:c>
      <x:c r="F43" s="16" t="str">
        <x:v>Known issue: shared Portfiles.</x:v>
      </x:c>
      <x:c r="G43" s="16" t="str">
        <x:v>Identifies the limitation and gives a concrete review action.</x:v>
      </x:c>
      <x:c r="H43" s="16" t="str">
        <x:v>Replace this prose excerpt in place. Preserve surrounding text.</x:v>
      </x:c>
      <x:c r="I43" s="16" t="str">
        <x:v>Medium</x:v>
      </x:c>
      <x:c r="J43" s="16" t="str">
        <x:v>Recommended</x:v>
      </x:c>
    </x:row>
    <x:row r="44" ht="54" customHeight="1">
      <x:c r="A44" s="14" t="str">
        <x:v>DOC-039</x:v>
      </x:c>
      <x:c r="B44" s="14" t="str">
        <x:v>`logs` of a running check says it recorded no log until the target ends.</x:v>
      </x:c>
      <x:c r="C44" s="14" t="str">
        <x:v>`logs` reports that no log has been recorded while a target is still building. The log becomes available when the target finishes.</x:v>
      </x:c>
      <x:c r="D44" s="14" t="str">
        <x:v>README.md</x:v>
      </x:c>
      <x:c r="E44" s="15" t="n">
        <x:v>130</x:v>
      </x:c>
      <x:c r="F44" s="14" t="str">
        <x:v>Known issue: live logs.</x:v>
      </x:c>
      <x:c r="G44" s="14" t="str">
        <x:v>Distinguishes an unavailable live log from a missing build.</x:v>
      </x:c>
      <x:c r="H44" s="14" t="str">
        <x:v>Replace this prose excerpt in place. Preserve surrounding text.</x:v>
      </x:c>
      <x:c r="I44" s="14" t="str">
        <x:v>Medium</x:v>
      </x:c>
      <x:c r="J44" s="14" t="str">
        <x:v>Recommended</x:v>
      </x:c>
    </x:row>
  </x:sheetData>
  <x:conditionalFormatting sqref="I6:I44">
    <x:cfRule type="containsText" dxfId="12" priority="1" operator="containsText" text="High"/>
  </x:conditionalFormatting>
  <x:conditionalFormatting sqref="J6:J44">
    <x:cfRule type="containsText" dxfId="13" priority="2" operator="containsText" text="Alternative"/>
  </x:conditionalFormatting>
  <x:pageMargins left="0.7" right="0.7" top="0.75" bottom="0.75" header="0.3" footer="0.3"/>
  <x:tableParts count="1">
    <x:tablePart xmlns:r="http://schemas.openxmlformats.org/officeDocument/2006/relationships" r:id="Rc07655d9ab964ec9"/>
  </x:tableParts>
</x:worksheet>
</file>